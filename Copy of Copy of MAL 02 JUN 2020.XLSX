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469366037.mil\Desktop\"/>
    </mc:Choice>
  </mc:AlternateContent>
  <bookViews>
    <workbookView xWindow="0" yWindow="1230" windowWidth="20490" windowHeight="7515"/>
  </bookViews>
  <sheets>
    <sheet name="MAL" sheetId="1" r:id="rId1"/>
    <sheet name="REAR M4s" sheetId="2" r:id="rId2"/>
    <sheet name="Shermett" sheetId="3" r:id="rId3"/>
    <sheet name="Rhino Mount Shortage" sheetId="4" r:id="rId4"/>
    <sheet name="MAL KEY" sheetId="5" r:id="rId5"/>
    <sheet name="NON-AA&amp;E" sheetId="6" state="hidden" r:id="rId6"/>
    <sheet name="2062" sheetId="7" state="hidden" r:id="rId7"/>
    <sheet name="CONTROL LOG" sheetId="8" state="hidden" r:id="rId8"/>
    <sheet name="TPE" sheetId="9" state="hidden" r:id="rId9"/>
    <sheet name="NOT HHC" sheetId="10" state="hidden" r:id="rId10"/>
    <sheet name="Sheet11" sheetId="11" r:id="rId11"/>
  </sheets>
  <definedNames>
    <definedName name="_xlnm._FilterDatabase" localSheetId="0" hidden="1">MAL!$A$1:$AB$199</definedName>
  </definedNames>
  <calcPr calcId="152511" iterateDelta="1E-4"/>
</workbook>
</file>

<file path=xl/calcChain.xml><?xml version="1.0" encoding="utf-8"?>
<calcChain xmlns="http://schemas.openxmlformats.org/spreadsheetml/2006/main">
  <c r="ALZ20" i="7" l="1"/>
  <c r="ALY20" i="7"/>
  <c r="AKV20" i="7"/>
  <c r="AKU20" i="7"/>
  <c r="AJR20" i="7"/>
  <c r="AJQ20" i="7"/>
  <c r="AIN20" i="7"/>
  <c r="AIM20" i="7"/>
  <c r="AHJ20" i="7"/>
  <c r="AHI20" i="7"/>
  <c r="AFB20" i="7"/>
  <c r="AFA20" i="7"/>
  <c r="ADX20" i="7"/>
  <c r="ADW20" i="7"/>
  <c r="ACT20" i="7"/>
  <c r="ACS20" i="7"/>
  <c r="ABP20" i="7"/>
  <c r="ABO20" i="7"/>
  <c r="AAL20" i="7"/>
  <c r="AAK20" i="7"/>
  <c r="ZH20" i="7"/>
  <c r="ZG20" i="7"/>
  <c r="WZ20" i="7"/>
  <c r="WY20" i="7"/>
  <c r="VV20" i="7"/>
  <c r="VU20" i="7"/>
  <c r="UR20" i="7"/>
  <c r="UQ20" i="7"/>
  <c r="TN20" i="7"/>
  <c r="TM20" i="7"/>
  <c r="SJ20" i="7"/>
  <c r="SI20" i="7"/>
  <c r="RF20" i="7"/>
  <c r="RE20" i="7"/>
  <c r="OX20" i="7"/>
  <c r="OW20" i="7"/>
  <c r="NT20" i="7"/>
  <c r="NS20" i="7"/>
  <c r="MP20" i="7"/>
  <c r="MO20" i="7"/>
  <c r="LL20" i="7"/>
  <c r="LK20" i="7"/>
  <c r="KH20" i="7"/>
  <c r="KG20" i="7"/>
  <c r="JD20" i="7"/>
  <c r="JC20" i="7"/>
  <c r="GV20" i="7"/>
  <c r="GU20" i="7"/>
  <c r="FR20" i="7"/>
  <c r="FQ20" i="7"/>
  <c r="EN20" i="7"/>
  <c r="EM20" i="7"/>
  <c r="DJ20" i="7"/>
  <c r="DI20" i="7"/>
  <c r="CF20" i="7"/>
  <c r="CE20" i="7"/>
  <c r="BB20" i="7"/>
  <c r="BA20" i="7"/>
  <c r="AKN14" i="7"/>
  <c r="AKF14" i="7"/>
  <c r="AJJ14" i="7"/>
  <c r="AJB14" i="7"/>
  <c r="AIF14" i="7"/>
  <c r="AHX14" i="7"/>
  <c r="AHB14" i="7"/>
  <c r="AGT14" i="7"/>
  <c r="AFX14" i="7"/>
  <c r="AFP14" i="7"/>
  <c r="ACL14" i="7"/>
  <c r="ACD14" i="7"/>
  <c r="ABH14" i="7"/>
  <c r="AAZ14" i="7"/>
  <c r="AAD14" i="7"/>
  <c r="ZV14" i="7"/>
  <c r="YZ14" i="7"/>
  <c r="YR14" i="7"/>
  <c r="XV14" i="7"/>
  <c r="XN14" i="7"/>
  <c r="UJ14" i="7"/>
  <c r="UB14" i="7"/>
  <c r="TF14" i="7"/>
  <c r="SX14" i="7"/>
  <c r="SB14" i="7"/>
  <c r="RT14" i="7"/>
  <c r="QX14" i="7"/>
  <c r="QP14" i="7"/>
  <c r="PT14" i="7"/>
  <c r="PL14" i="7"/>
  <c r="MH14" i="7"/>
  <c r="LZ14" i="7"/>
  <c r="LD14" i="7"/>
  <c r="KV14" i="7"/>
  <c r="JZ14" i="7"/>
  <c r="JR14" i="7"/>
  <c r="IV14" i="7"/>
  <c r="IN14" i="7"/>
  <c r="HR14" i="7"/>
  <c r="HJ14" i="7"/>
  <c r="EF14" i="7"/>
  <c r="DX14" i="7"/>
  <c r="DB14" i="7"/>
  <c r="CT14" i="7"/>
  <c r="BX14" i="7"/>
  <c r="BP14" i="7"/>
  <c r="AT14" i="7"/>
  <c r="AL14" i="7"/>
  <c r="P14" i="7"/>
  <c r="H14" i="7"/>
  <c r="AKN13" i="7"/>
  <c r="AKF13" i="7"/>
  <c r="AJY13" i="7"/>
  <c r="AJJ13" i="7"/>
  <c r="AJB13" i="7"/>
  <c r="AIU13" i="7"/>
  <c r="AIF13" i="7"/>
  <c r="AHX13" i="7"/>
  <c r="AHQ13" i="7"/>
  <c r="AHB13" i="7"/>
  <c r="AGT13" i="7"/>
  <c r="AGM13" i="7"/>
  <c r="AFX13" i="7"/>
  <c r="AFP13" i="7"/>
  <c r="AFI13" i="7"/>
  <c r="ACL13" i="7"/>
  <c r="ACD13" i="7"/>
  <c r="ABW13" i="7"/>
  <c r="ABH13" i="7"/>
  <c r="AAZ13" i="7"/>
  <c r="AAS13" i="7"/>
  <c r="AAD13" i="7"/>
  <c r="ZV13" i="7"/>
  <c r="ZO13" i="7"/>
  <c r="YZ13" i="7"/>
  <c r="YR13" i="7"/>
  <c r="YK13" i="7"/>
  <c r="XV13" i="7"/>
  <c r="XN13" i="7"/>
  <c r="XG13" i="7"/>
  <c r="UJ13" i="7"/>
  <c r="UB13" i="7"/>
  <c r="TU13" i="7"/>
  <c r="TF13" i="7"/>
  <c r="SX13" i="7"/>
  <c r="SQ13" i="7"/>
  <c r="SB13" i="7"/>
  <c r="RT13" i="7"/>
  <c r="RM13" i="7"/>
  <c r="QX13" i="7"/>
  <c r="QP13" i="7"/>
  <c r="QI13" i="7"/>
  <c r="PT13" i="7"/>
  <c r="PL13" i="7"/>
  <c r="PE13" i="7"/>
  <c r="MH13" i="7"/>
  <c r="LZ13" i="7"/>
  <c r="LS13" i="7"/>
  <c r="LD13" i="7"/>
  <c r="KV13" i="7"/>
  <c r="KO13" i="7"/>
  <c r="JZ13" i="7"/>
  <c r="JR13" i="7"/>
  <c r="JK13" i="7"/>
  <c r="IV13" i="7"/>
  <c r="IN13" i="7"/>
  <c r="IG13" i="7"/>
  <c r="HR13" i="7"/>
  <c r="HJ13" i="7"/>
  <c r="HC13" i="7"/>
  <c r="EF13" i="7"/>
  <c r="DX13" i="7"/>
  <c r="DQ13" i="7"/>
  <c r="DB13" i="7"/>
  <c r="CT13" i="7"/>
  <c r="CM13" i="7"/>
  <c r="BX13" i="7"/>
  <c r="BP13" i="7"/>
  <c r="BI13" i="7"/>
  <c r="AT13" i="7"/>
  <c r="AL13" i="7"/>
  <c r="AE13" i="7"/>
  <c r="P13" i="7"/>
  <c r="H13" i="7"/>
  <c r="A13" i="7"/>
  <c r="AKN12" i="7"/>
  <c r="AKF12" i="7"/>
  <c r="AJJ12" i="7"/>
  <c r="AJB12" i="7"/>
  <c r="AIF12" i="7"/>
  <c r="AHX12" i="7"/>
  <c r="AHB12" i="7"/>
  <c r="AGT12" i="7"/>
  <c r="AFX12" i="7"/>
  <c r="AFP12" i="7"/>
  <c r="ACL12" i="7"/>
  <c r="ACD12" i="7"/>
  <c r="ABH12" i="7"/>
  <c r="AAZ12" i="7"/>
  <c r="AAD12" i="7"/>
  <c r="ZV12" i="7"/>
  <c r="YZ12" i="7"/>
  <c r="YR12" i="7"/>
  <c r="XV12" i="7"/>
  <c r="XN12" i="7"/>
  <c r="UJ12" i="7"/>
  <c r="UB12" i="7"/>
  <c r="TF12" i="7"/>
  <c r="SX12" i="7"/>
  <c r="SB12" i="7"/>
  <c r="RT12" i="7"/>
  <c r="QX12" i="7"/>
  <c r="QP12" i="7"/>
  <c r="PT12" i="7"/>
  <c r="PL12" i="7"/>
  <c r="MH12" i="7"/>
  <c r="LZ12" i="7"/>
  <c r="LD12" i="7"/>
  <c r="KV12" i="7"/>
  <c r="JZ12" i="7"/>
  <c r="JR12" i="7"/>
  <c r="IV12" i="7"/>
  <c r="IN12" i="7"/>
  <c r="HR12" i="7"/>
  <c r="HJ12" i="7"/>
  <c r="EF12" i="7"/>
  <c r="DX12" i="7"/>
  <c r="DB12" i="7"/>
  <c r="CT12" i="7"/>
  <c r="BX12" i="7"/>
  <c r="BP12" i="7"/>
  <c r="AT12" i="7"/>
  <c r="AL12" i="7"/>
  <c r="P12" i="7"/>
  <c r="H12" i="7"/>
  <c r="AKN11" i="7"/>
  <c r="AKF11" i="7"/>
  <c r="AJJ11" i="7"/>
  <c r="AJB11" i="7"/>
  <c r="AIF11" i="7"/>
  <c r="AHX11" i="7"/>
  <c r="AHB11" i="7"/>
  <c r="AGT11" i="7"/>
  <c r="AFX11" i="7"/>
  <c r="AFP11" i="7"/>
  <c r="ACL11" i="7"/>
  <c r="ACD11" i="7"/>
  <c r="ABH11" i="7"/>
  <c r="AAZ11" i="7"/>
  <c r="AAD11" i="7"/>
  <c r="ZV11" i="7"/>
  <c r="YZ11" i="7"/>
  <c r="YR11" i="7"/>
  <c r="XV11" i="7"/>
  <c r="XN11" i="7"/>
  <c r="UJ11" i="7"/>
  <c r="UB11" i="7"/>
  <c r="TF11" i="7"/>
  <c r="SX11" i="7"/>
  <c r="SB11" i="7"/>
  <c r="RT11" i="7"/>
  <c r="QX11" i="7"/>
  <c r="QP11" i="7"/>
  <c r="PT11" i="7"/>
  <c r="PL11" i="7"/>
  <c r="MH11" i="7"/>
  <c r="LZ11" i="7"/>
  <c r="LD11" i="7"/>
  <c r="KV11" i="7"/>
  <c r="JZ11" i="7"/>
  <c r="JR11" i="7"/>
  <c r="IV11" i="7"/>
  <c r="IN11" i="7"/>
  <c r="HR11" i="7"/>
  <c r="HJ11" i="7"/>
  <c r="EF11" i="7"/>
  <c r="DX11" i="7"/>
  <c r="DB11" i="7"/>
  <c r="CT11" i="7"/>
  <c r="BX11" i="7"/>
  <c r="BP11" i="7"/>
  <c r="AT11" i="7"/>
  <c r="AL11" i="7"/>
  <c r="P11" i="7"/>
  <c r="H11" i="7"/>
  <c r="AKN10" i="7"/>
  <c r="AKF10" i="7"/>
  <c r="AJJ10" i="7"/>
  <c r="AJB10" i="7"/>
  <c r="AIF10" i="7"/>
  <c r="AHX10" i="7"/>
  <c r="AHB10" i="7"/>
  <c r="AGT10" i="7"/>
  <c r="AFX10" i="7"/>
  <c r="AFP10" i="7"/>
  <c r="ACL10" i="7"/>
  <c r="ACD10" i="7"/>
  <c r="ABH10" i="7"/>
  <c r="AAZ10" i="7"/>
  <c r="AAD10" i="7"/>
  <c r="ZV10" i="7"/>
  <c r="YZ10" i="7"/>
  <c r="YR10" i="7"/>
  <c r="XV10" i="7"/>
  <c r="XN10" i="7"/>
  <c r="UJ10" i="7"/>
  <c r="UB10" i="7"/>
  <c r="TF10" i="7"/>
  <c r="SX10" i="7"/>
  <c r="SB10" i="7"/>
  <c r="RT10" i="7"/>
  <c r="QX10" i="7"/>
  <c r="QP10" i="7"/>
  <c r="PT10" i="7"/>
  <c r="PL10" i="7"/>
  <c r="MH10" i="7"/>
  <c r="LZ10" i="7"/>
  <c r="LD10" i="7"/>
  <c r="KV10" i="7"/>
  <c r="JZ10" i="7"/>
  <c r="JR10" i="7"/>
  <c r="IV10" i="7"/>
  <c r="IN10" i="7"/>
  <c r="HR10" i="7"/>
  <c r="HJ10" i="7"/>
  <c r="EF10" i="7"/>
  <c r="DX10" i="7"/>
  <c r="DB10" i="7"/>
  <c r="CT10" i="7"/>
  <c r="BX10" i="7"/>
  <c r="BP10" i="7"/>
  <c r="AT10" i="7"/>
  <c r="AL10" i="7"/>
  <c r="P10" i="7"/>
  <c r="H10" i="7"/>
  <c r="AMG9" i="7"/>
  <c r="ALC9" i="7"/>
  <c r="AKN9" i="7"/>
  <c r="AKF9" i="7"/>
  <c r="AJJ9" i="7"/>
  <c r="AJB9" i="7"/>
  <c r="AIF9" i="7"/>
  <c r="AHX9" i="7"/>
  <c r="AHB9" i="7"/>
  <c r="AGT9" i="7"/>
  <c r="AFX9" i="7"/>
  <c r="AFP9" i="7"/>
  <c r="AEE9" i="7"/>
  <c r="ADA9" i="7"/>
  <c r="ACL9" i="7"/>
  <c r="ACD9" i="7"/>
  <c r="ABH9" i="7"/>
  <c r="AAZ9" i="7"/>
  <c r="AAD9" i="7"/>
  <c r="ZV9" i="7"/>
  <c r="YZ9" i="7"/>
  <c r="YR9" i="7"/>
  <c r="YK9" i="7"/>
  <c r="XV9" i="7"/>
  <c r="XN9" i="7"/>
  <c r="WC9" i="7"/>
  <c r="UY9" i="7"/>
  <c r="UJ9" i="7"/>
  <c r="UB9" i="7"/>
  <c r="TU9" i="7"/>
  <c r="TF9" i="7"/>
  <c r="SX9" i="7"/>
  <c r="SB9" i="7"/>
  <c r="RT9" i="7"/>
  <c r="QX9" i="7"/>
  <c r="QP9" i="7"/>
  <c r="PT9" i="7"/>
  <c r="PL9" i="7"/>
  <c r="OA9" i="7"/>
  <c r="MW9" i="7"/>
  <c r="MH9" i="7"/>
  <c r="LZ9" i="7"/>
  <c r="LD9" i="7"/>
  <c r="KV9" i="7"/>
  <c r="JZ9" i="7"/>
  <c r="JR9" i="7"/>
  <c r="IV9" i="7"/>
  <c r="IN9" i="7"/>
  <c r="HR9" i="7"/>
  <c r="HJ9" i="7"/>
  <c r="FY9" i="7"/>
  <c r="EU9" i="7"/>
  <c r="EF9" i="7"/>
  <c r="DX9" i="7"/>
  <c r="DB9" i="7"/>
  <c r="CT9" i="7"/>
  <c r="BX9" i="7"/>
  <c r="BP9" i="7"/>
  <c r="AT9" i="7"/>
  <c r="AL9" i="7"/>
  <c r="P9" i="7"/>
  <c r="H9" i="7"/>
  <c r="ALB2" i="7"/>
  <c r="AJY9" i="7" s="1"/>
  <c r="AKX2" i="7"/>
  <c r="AKU2" i="7"/>
  <c r="AKQ2" i="7"/>
  <c r="AJX2" i="7"/>
  <c r="AIU9" i="7" s="1"/>
  <c r="AJT2" i="7"/>
  <c r="AJQ2" i="7"/>
  <c r="AJM2" i="7"/>
  <c r="AIT2" i="7"/>
  <c r="AHQ9" i="7" s="1"/>
  <c r="AIP2" i="7"/>
  <c r="AIM2" i="7"/>
  <c r="AII2" i="7"/>
  <c r="AHP2" i="7"/>
  <c r="AGM9" i="7" s="1"/>
  <c r="AHL2" i="7"/>
  <c r="AHI2" i="7"/>
  <c r="AHE2" i="7"/>
  <c r="AGL2" i="7"/>
  <c r="AFI9" i="7" s="1"/>
  <c r="AGH2" i="7"/>
  <c r="AGE2" i="7"/>
  <c r="AGA2" i="7"/>
  <c r="ACZ2" i="7"/>
  <c r="ABW9" i="7" s="1"/>
  <c r="ACV2" i="7"/>
  <c r="ACS2" i="7"/>
  <c r="ACO2" i="7"/>
  <c r="ABV2" i="7"/>
  <c r="AAS9" i="7" s="1"/>
  <c r="ABR2" i="7"/>
  <c r="ABO2" i="7"/>
  <c r="ABK2" i="7"/>
  <c r="AAR2" i="7"/>
  <c r="ZO9" i="7" s="1"/>
  <c r="AAN2" i="7"/>
  <c r="AAK2" i="7"/>
  <c r="AAG2" i="7"/>
  <c r="ZN2" i="7"/>
  <c r="ZJ2" i="7"/>
  <c r="ZG2" i="7"/>
  <c r="ZC2" i="7"/>
  <c r="YJ2" i="7"/>
  <c r="XG9" i="7" s="1"/>
  <c r="YF2" i="7"/>
  <c r="YC2" i="7"/>
  <c r="XY2" i="7"/>
  <c r="UX2" i="7"/>
  <c r="UT2" i="7"/>
  <c r="UQ2" i="7"/>
  <c r="UM2" i="7"/>
  <c r="TT2" i="7"/>
  <c r="SQ9" i="7" s="1"/>
  <c r="TP2" i="7"/>
  <c r="TM2" i="7"/>
  <c r="TI2" i="7"/>
  <c r="SP2" i="7"/>
  <c r="RM9" i="7" s="1"/>
  <c r="SL2" i="7"/>
  <c r="SI2" i="7"/>
  <c r="SE2" i="7"/>
  <c r="RL2" i="7"/>
  <c r="QI9" i="7" s="1"/>
  <c r="RH2" i="7"/>
  <c r="RE2" i="7"/>
  <c r="RA2" i="7"/>
  <c r="QH2" i="7"/>
  <c r="PE9" i="7" s="1"/>
  <c r="QD2" i="7"/>
  <c r="QA2" i="7"/>
  <c r="PW2" i="7"/>
  <c r="MV2" i="7"/>
  <c r="LS9" i="7" s="1"/>
  <c r="MR2" i="7"/>
  <c r="MO2" i="7"/>
  <c r="MK2" i="7"/>
  <c r="LR2" i="7"/>
  <c r="KO9" i="7" s="1"/>
  <c r="LN2" i="7"/>
  <c r="LK2" i="7"/>
  <c r="LG2" i="7"/>
  <c r="KN2" i="7"/>
  <c r="JK9" i="7" s="1"/>
  <c r="KJ2" i="7"/>
  <c r="KG2" i="7"/>
  <c r="KC2" i="7"/>
  <c r="JJ2" i="7"/>
  <c r="IG9" i="7" s="1"/>
  <c r="JF2" i="7"/>
  <c r="JC2" i="7"/>
  <c r="IY2" i="7"/>
  <c r="IF2" i="7"/>
  <c r="HC9" i="7" s="1"/>
  <c r="IB2" i="7"/>
  <c r="HY2" i="7"/>
  <c r="HU2" i="7"/>
  <c r="ET2" i="7"/>
  <c r="DQ9" i="7" s="1"/>
  <c r="EP2" i="7"/>
  <c r="EM2" i="7"/>
  <c r="EI2" i="7"/>
  <c r="DP2" i="7"/>
  <c r="CM9" i="7" s="1"/>
  <c r="DL2" i="7"/>
  <c r="DI2" i="7"/>
  <c r="DE2" i="7"/>
  <c r="CL2" i="7"/>
  <c r="BI9" i="7" s="1"/>
  <c r="CH2" i="7"/>
  <c r="CE2" i="7"/>
  <c r="CA2" i="7"/>
  <c r="BH2" i="7"/>
  <c r="AE9" i="7" s="1"/>
  <c r="BD2" i="7"/>
  <c r="BA2" i="7"/>
  <c r="AW2" i="7"/>
  <c r="AD2" i="7"/>
  <c r="A9" i="7" s="1"/>
  <c r="Z2" i="7"/>
  <c r="W2" i="7"/>
  <c r="S2" i="7"/>
  <c r="AKX1" i="7"/>
  <c r="AJT1" i="7"/>
  <c r="AIP1" i="7"/>
  <c r="AHL1" i="7"/>
  <c r="AGH1" i="7"/>
  <c r="ACV1" i="7"/>
  <c r="ABR1" i="7"/>
  <c r="AAN1" i="7"/>
  <c r="ZJ1" i="7"/>
  <c r="YF1" i="7"/>
  <c r="UT1" i="7"/>
  <c r="TP1" i="7"/>
  <c r="SL1" i="7"/>
  <c r="RH1" i="7"/>
  <c r="QD1" i="7"/>
  <c r="MR1" i="7"/>
  <c r="LN1" i="7"/>
  <c r="KJ1" i="7"/>
  <c r="JF1" i="7"/>
  <c r="IB1" i="7"/>
  <c r="EP1" i="7"/>
  <c r="DL1" i="7"/>
  <c r="CH1" i="7"/>
  <c r="BD1" i="7"/>
  <c r="Z1" i="7"/>
  <c r="B12" i="4"/>
</calcChain>
</file>

<file path=xl/sharedStrings.xml><?xml version="1.0" encoding="utf-8"?>
<sst xmlns="http://schemas.openxmlformats.org/spreadsheetml/2006/main" count="10093" uniqueCount="2269">
  <si>
    <t>SECTION</t>
  </si>
  <si>
    <t>FORWARD OR NO</t>
  </si>
  <si>
    <t>WPN</t>
  </si>
  <si>
    <t>IDENTIFIER</t>
  </si>
  <si>
    <t>RANK</t>
  </si>
  <si>
    <t>LASTNAME</t>
  </si>
  <si>
    <t>FIRSTNAME</t>
  </si>
  <si>
    <t>PRIMARY WEAPON</t>
  </si>
  <si>
    <t>SERIAL</t>
  </si>
  <si>
    <t>OPTIC</t>
  </si>
  <si>
    <t>PEQ</t>
  </si>
  <si>
    <t>NODS</t>
  </si>
  <si>
    <t>SCT</t>
  </si>
  <si>
    <t>x</t>
  </si>
  <si>
    <t>M4</t>
  </si>
  <si>
    <t>1LT</t>
  </si>
  <si>
    <t>MILLIGAN</t>
  </si>
  <si>
    <t>ROBERT</t>
  </si>
  <si>
    <t>W010240</t>
  </si>
  <si>
    <t>ACOG</t>
  </si>
  <si>
    <t>766522/077943</t>
  </si>
  <si>
    <t>PEQ-15</t>
  </si>
  <si>
    <t>239025</t>
  </si>
  <si>
    <t>PVS-14</t>
  </si>
  <si>
    <t>6542869</t>
  </si>
  <si>
    <t>ASIP</t>
  </si>
  <si>
    <t>005532</t>
  </si>
  <si>
    <t>M952 LIGHT</t>
  </si>
  <si>
    <t>A020163</t>
  </si>
  <si>
    <t>UNASSIGNED</t>
  </si>
  <si>
    <t>W011008</t>
  </si>
  <si>
    <t>439044</t>
  </si>
  <si>
    <t>MBITR</t>
  </si>
  <si>
    <t>A264614</t>
  </si>
  <si>
    <t>SPC</t>
  </si>
  <si>
    <t>TURBITT</t>
  </si>
  <si>
    <t>CODY</t>
  </si>
  <si>
    <t>W011050</t>
  </si>
  <si>
    <t>766546/076556</t>
  </si>
  <si>
    <t>445661</t>
  </si>
  <si>
    <t>6517939</t>
  </si>
  <si>
    <t>M320</t>
  </si>
  <si>
    <t>254-002135</t>
  </si>
  <si>
    <t>A316668</t>
  </si>
  <si>
    <t>SGT</t>
  </si>
  <si>
    <t>CANIDA</t>
  </si>
  <si>
    <t>W011072</t>
  </si>
  <si>
    <t>518629</t>
  </si>
  <si>
    <t>443052</t>
  </si>
  <si>
    <t>74106814</t>
  </si>
  <si>
    <t>150</t>
  </si>
  <si>
    <t>008787</t>
  </si>
  <si>
    <t>A316675</t>
  </si>
  <si>
    <t>SSG</t>
  </si>
  <si>
    <t>PEREZ</t>
  </si>
  <si>
    <t>JUAN</t>
  </si>
  <si>
    <t>W011097</t>
  </si>
  <si>
    <t>766534/076850</t>
  </si>
  <si>
    <t>PEQ-15A</t>
  </si>
  <si>
    <t>00056091</t>
  </si>
  <si>
    <t>6541701</t>
  </si>
  <si>
    <t>A316676</t>
  </si>
  <si>
    <t>BEASLEY</t>
  </si>
  <si>
    <t>WADE</t>
  </si>
  <si>
    <t>W011609</t>
  </si>
  <si>
    <t>518610</t>
  </si>
  <si>
    <t>239339</t>
  </si>
  <si>
    <t>6518627</t>
  </si>
  <si>
    <t>003029</t>
  </si>
  <si>
    <t>003391</t>
  </si>
  <si>
    <t>A316684</t>
  </si>
  <si>
    <t>STROEVE</t>
  </si>
  <si>
    <t>ETHAN</t>
  </si>
  <si>
    <t>W011612</t>
  </si>
  <si>
    <t>TMR</t>
  </si>
  <si>
    <t>278678W</t>
  </si>
  <si>
    <t>00056399</t>
  </si>
  <si>
    <t>A3281</t>
  </si>
  <si>
    <t>A317428</t>
  </si>
  <si>
    <t>CPL</t>
  </si>
  <si>
    <t>HOLLIS</t>
  </si>
  <si>
    <t>SCOTT</t>
  </si>
  <si>
    <t>W011613</t>
  </si>
  <si>
    <t>766525/077896</t>
  </si>
  <si>
    <t>239353</t>
  </si>
  <si>
    <t>6543961</t>
  </si>
  <si>
    <t>A317445</t>
  </si>
  <si>
    <t>MED</t>
  </si>
  <si>
    <t>PFC</t>
  </si>
  <si>
    <t>BERMUDEZ</t>
  </si>
  <si>
    <t>PETER</t>
  </si>
  <si>
    <t>W011619</t>
  </si>
  <si>
    <t>M68</t>
  </si>
  <si>
    <t>W2108897</t>
  </si>
  <si>
    <t>239399</t>
  </si>
  <si>
    <t>585</t>
  </si>
  <si>
    <t>A317449</t>
  </si>
  <si>
    <t>GIBSON</t>
  </si>
  <si>
    <t>JAMES</t>
  </si>
  <si>
    <t>W011683</t>
  </si>
  <si>
    <t>6517929</t>
  </si>
  <si>
    <t>PED-7</t>
  </si>
  <si>
    <t>A317556</t>
  </si>
  <si>
    <t>GILLIARD</t>
  </si>
  <si>
    <t>BRYSON</t>
  </si>
  <si>
    <t>W689754</t>
  </si>
  <si>
    <t>518611</t>
  </si>
  <si>
    <t>398407</t>
  </si>
  <si>
    <t>6518157</t>
  </si>
  <si>
    <t>A317564</t>
  </si>
  <si>
    <t>JACKSON</t>
  </si>
  <si>
    <t>KHALIB</t>
  </si>
  <si>
    <t>W011689</t>
  </si>
  <si>
    <t>00041967</t>
  </si>
  <si>
    <t>6542866</t>
  </si>
  <si>
    <t>PAS-13D</t>
  </si>
  <si>
    <t>210785</t>
  </si>
  <si>
    <t>M2010</t>
  </si>
  <si>
    <t>RR14022C</t>
  </si>
  <si>
    <t>HDMR</t>
  </si>
  <si>
    <t>372065Y</t>
  </si>
  <si>
    <t>278401</t>
  </si>
  <si>
    <t>SUPPRESSOR</t>
  </si>
  <si>
    <t>02516</t>
  </si>
  <si>
    <t>A317818</t>
  </si>
  <si>
    <t>W011694</t>
  </si>
  <si>
    <t>00056099</t>
  </si>
  <si>
    <t>A317828</t>
  </si>
  <si>
    <t>CORREA</t>
  </si>
  <si>
    <t>JUSTIN</t>
  </si>
  <si>
    <t>W011699</t>
  </si>
  <si>
    <t>518628</t>
  </si>
  <si>
    <t>260892</t>
  </si>
  <si>
    <t>74106803</t>
  </si>
  <si>
    <t>A317844</t>
  </si>
  <si>
    <t>HAIRSTON</t>
  </si>
  <si>
    <t>W011753</t>
  </si>
  <si>
    <t>524557</t>
  </si>
  <si>
    <t>260894</t>
  </si>
  <si>
    <t>PSQ-20B</t>
  </si>
  <si>
    <t>210851</t>
  </si>
  <si>
    <t>A317849</t>
  </si>
  <si>
    <t>NEWCOMB</t>
  </si>
  <si>
    <t>JOSEPH</t>
  </si>
  <si>
    <t>W011755</t>
  </si>
  <si>
    <t>552649</t>
  </si>
  <si>
    <t>260900</t>
  </si>
  <si>
    <t>6518409</t>
  </si>
  <si>
    <t>A317851</t>
  </si>
  <si>
    <t>BARNES</t>
  </si>
  <si>
    <t>TYLER</t>
  </si>
  <si>
    <t>W011764</t>
  </si>
  <si>
    <t>524639</t>
  </si>
  <si>
    <t>260897</t>
  </si>
  <si>
    <t>536226</t>
  </si>
  <si>
    <t>A317852</t>
  </si>
  <si>
    <t>WRIGHT</t>
  </si>
  <si>
    <t>JACOB</t>
  </si>
  <si>
    <t>W011784</t>
  </si>
  <si>
    <t>766536/077723</t>
  </si>
  <si>
    <t>260898</t>
  </si>
  <si>
    <t>6517961</t>
  </si>
  <si>
    <t>207594</t>
  </si>
  <si>
    <t>254-002157</t>
  </si>
  <si>
    <t>A318092</t>
  </si>
  <si>
    <t>REACH</t>
  </si>
  <si>
    <t>W011822</t>
  </si>
  <si>
    <t>525136</t>
  </si>
  <si>
    <t>M110</t>
  </si>
  <si>
    <t>05344</t>
  </si>
  <si>
    <t>AU37067</t>
  </si>
  <si>
    <t>445574</t>
  </si>
  <si>
    <t>S075862</t>
  </si>
  <si>
    <t>A318096</t>
  </si>
  <si>
    <t>HOMAN</t>
  </si>
  <si>
    <t>GAVIN</t>
  </si>
  <si>
    <t>W011891</t>
  </si>
  <si>
    <t>525143</t>
  </si>
  <si>
    <t>239310</t>
  </si>
  <si>
    <t>6517951</t>
  </si>
  <si>
    <t>A318100</t>
  </si>
  <si>
    <t>BARR</t>
  </si>
  <si>
    <t>PATRICK</t>
  </si>
  <si>
    <t>W011892</t>
  </si>
  <si>
    <t>533324</t>
  </si>
  <si>
    <t>261032</t>
  </si>
  <si>
    <t>6517903</t>
  </si>
  <si>
    <t>23660</t>
  </si>
  <si>
    <t>A318101</t>
  </si>
  <si>
    <t>FISCHL</t>
  </si>
  <si>
    <t>RILEY</t>
  </si>
  <si>
    <t>W011899</t>
  </si>
  <si>
    <t>518625</t>
  </si>
  <si>
    <t>261040</t>
  </si>
  <si>
    <t>6543973</t>
  </si>
  <si>
    <t>SKL</t>
  </si>
  <si>
    <t>DAGR</t>
  </si>
  <si>
    <t>A318252</t>
  </si>
  <si>
    <t>CRAIG</t>
  </si>
  <si>
    <t>CHARLES</t>
  </si>
  <si>
    <t>W011907</t>
  </si>
  <si>
    <t>552643</t>
  </si>
  <si>
    <t>261041</t>
  </si>
  <si>
    <t>6542874</t>
  </si>
  <si>
    <t>A318478</t>
  </si>
  <si>
    <t>LANDRUM</t>
  </si>
  <si>
    <t>CHRISTOPHER</t>
  </si>
  <si>
    <t>W011921</t>
  </si>
  <si>
    <t>286506W</t>
  </si>
  <si>
    <t>443186</t>
  </si>
  <si>
    <t>6542855</t>
  </si>
  <si>
    <t>1519</t>
  </si>
  <si>
    <t>05341</t>
  </si>
  <si>
    <t>376707X</t>
  </si>
  <si>
    <t>439381</t>
  </si>
  <si>
    <t>S075891</t>
  </si>
  <si>
    <t>A318523</t>
  </si>
  <si>
    <t>BANCROFT</t>
  </si>
  <si>
    <t>GRANGER</t>
  </si>
  <si>
    <t>W012087</t>
  </si>
  <si>
    <t>525145</t>
  </si>
  <si>
    <t>261048</t>
  </si>
  <si>
    <t>74106860</t>
  </si>
  <si>
    <t>254-002140</t>
  </si>
  <si>
    <t>A318525</t>
  </si>
  <si>
    <t>SPENCER</t>
  </si>
  <si>
    <t>PHILIP</t>
  </si>
  <si>
    <t>W012101</t>
  </si>
  <si>
    <t>584627</t>
  </si>
  <si>
    <t>261046</t>
  </si>
  <si>
    <t>6518489</t>
  </si>
  <si>
    <t>JOSKOWITZ</t>
  </si>
  <si>
    <t>W012104</t>
  </si>
  <si>
    <t>652036</t>
  </si>
  <si>
    <t>239026</t>
  </si>
  <si>
    <t>6518623</t>
  </si>
  <si>
    <t>211725</t>
  </si>
  <si>
    <t>A318553</t>
  </si>
  <si>
    <t>LAIRD</t>
  </si>
  <si>
    <t>TY</t>
  </si>
  <si>
    <t>W012112</t>
  </si>
  <si>
    <t>525147</t>
  </si>
  <si>
    <t>261049</t>
  </si>
  <si>
    <t>A318600</t>
  </si>
  <si>
    <t>HOWARD</t>
  </si>
  <si>
    <t>CAMERON</t>
  </si>
  <si>
    <t>W012116</t>
  </si>
  <si>
    <t>584649</t>
  </si>
  <si>
    <t>261086</t>
  </si>
  <si>
    <t>6543967</t>
  </si>
  <si>
    <t>211718</t>
  </si>
  <si>
    <t>A318611</t>
  </si>
  <si>
    <t>CLINE</t>
  </si>
  <si>
    <t>BENJAMIN</t>
  </si>
  <si>
    <t>W012131</t>
  </si>
  <si>
    <t>525164</t>
  </si>
  <si>
    <t>261517</t>
  </si>
  <si>
    <t>6533513</t>
  </si>
  <si>
    <t>210760</t>
  </si>
  <si>
    <t>2146</t>
  </si>
  <si>
    <t>05347</t>
  </si>
  <si>
    <t>ET35215H</t>
  </si>
  <si>
    <t>438790</t>
  </si>
  <si>
    <t>S075839</t>
  </si>
  <si>
    <t>A318624</t>
  </si>
  <si>
    <t>SFC</t>
  </si>
  <si>
    <t>O’SHIELDS</t>
  </si>
  <si>
    <t>JEREMY</t>
  </si>
  <si>
    <t>W012135</t>
  </si>
  <si>
    <t>766535/076851</t>
  </si>
  <si>
    <t>395410</t>
  </si>
  <si>
    <t>74106855</t>
  </si>
  <si>
    <t>A318653</t>
  </si>
  <si>
    <t>MRT</t>
  </si>
  <si>
    <t>BRYANT</t>
  </si>
  <si>
    <t>W012146</t>
  </si>
  <si>
    <t>EO TECH</t>
  </si>
  <si>
    <t>A0488953</t>
  </si>
  <si>
    <t>278443</t>
  </si>
  <si>
    <t>A318659</t>
  </si>
  <si>
    <t>FOUNTAIN</t>
  </si>
  <si>
    <t>RYAN</t>
  </si>
  <si>
    <t>W012167</t>
  </si>
  <si>
    <t>766554/077808</t>
  </si>
  <si>
    <t>261722</t>
  </si>
  <si>
    <t>6542865</t>
  </si>
  <si>
    <t>A318660</t>
  </si>
  <si>
    <t>PV2</t>
  </si>
  <si>
    <t>RUPPAL</t>
  </si>
  <si>
    <t>HUNTER</t>
  </si>
  <si>
    <t>W012186</t>
  </si>
  <si>
    <t>W2490408</t>
  </si>
  <si>
    <t>439303</t>
  </si>
  <si>
    <t>A318666</t>
  </si>
  <si>
    <t>ATKINSON</t>
  </si>
  <si>
    <t>PRESCOTT</t>
  </si>
  <si>
    <t>W012208</t>
  </si>
  <si>
    <t>W2488301</t>
  </si>
  <si>
    <t>261784</t>
  </si>
  <si>
    <t>74106841</t>
  </si>
  <si>
    <t>A318669</t>
  </si>
  <si>
    <t>WALL</t>
  </si>
  <si>
    <t>W012224</t>
  </si>
  <si>
    <t>W2490411</t>
  </si>
  <si>
    <t>261793</t>
  </si>
  <si>
    <t>A318671</t>
  </si>
  <si>
    <t>AVALOS</t>
  </si>
  <si>
    <t>W012232</t>
  </si>
  <si>
    <t>W2488308</t>
  </si>
  <si>
    <t>261795</t>
  </si>
  <si>
    <t>A318672</t>
  </si>
  <si>
    <t>THOMPSON</t>
  </si>
  <si>
    <t>W012237</t>
  </si>
  <si>
    <t>W2487338</t>
  </si>
  <si>
    <t>261896</t>
  </si>
  <si>
    <t>74106807</t>
  </si>
  <si>
    <t>PAS-13E(V)3</t>
  </si>
  <si>
    <t>A318673</t>
  </si>
  <si>
    <t>PAYNE</t>
  </si>
  <si>
    <t>ERRIN</t>
  </si>
  <si>
    <t>W012267</t>
  </si>
  <si>
    <t>W2490399</t>
  </si>
  <si>
    <t>278310</t>
  </si>
  <si>
    <t>74106846</t>
  </si>
  <si>
    <t>A318674</t>
  </si>
  <si>
    <t>ALLEN</t>
  </si>
  <si>
    <t>AUSTIN</t>
  </si>
  <si>
    <t>W012286</t>
  </si>
  <si>
    <t>W2488319</t>
  </si>
  <si>
    <t>278313</t>
  </si>
  <si>
    <t>6507750</t>
  </si>
  <si>
    <t>PAS-13G</t>
  </si>
  <si>
    <t>A318839</t>
  </si>
  <si>
    <t>BATISTO</t>
  </si>
  <si>
    <t>ANGELITO</t>
  </si>
  <si>
    <t>W012293</t>
  </si>
  <si>
    <t>W2490407</t>
  </si>
  <si>
    <t>278315</t>
  </si>
  <si>
    <t>6517922</t>
  </si>
  <si>
    <t>A319012</t>
  </si>
  <si>
    <t>LITTLE</t>
  </si>
  <si>
    <t>TERRANCE</t>
  </si>
  <si>
    <t>W012295</t>
  </si>
  <si>
    <t>624777</t>
  </si>
  <si>
    <t>278316</t>
  </si>
  <si>
    <t>6542867</t>
  </si>
  <si>
    <t>A319013</t>
  </si>
  <si>
    <t>SIMPSON</t>
  </si>
  <si>
    <t>W012296</t>
  </si>
  <si>
    <t>W2527417</t>
  </si>
  <si>
    <t>278317</t>
  </si>
  <si>
    <t>6543981</t>
  </si>
  <si>
    <t>A319019</t>
  </si>
  <si>
    <t>GIMNICH</t>
  </si>
  <si>
    <t>W012297</t>
  </si>
  <si>
    <t>W2488310</t>
  </si>
  <si>
    <t>278318</t>
  </si>
  <si>
    <t>6542860</t>
  </si>
  <si>
    <t>M240B</t>
  </si>
  <si>
    <t>U110589</t>
  </si>
  <si>
    <t>M145</t>
  </si>
  <si>
    <t>ELC-09-73251</t>
  </si>
  <si>
    <t>443103</t>
  </si>
  <si>
    <t>A319034</t>
  </si>
  <si>
    <t>MOORE</t>
  </si>
  <si>
    <t>EAMON</t>
  </si>
  <si>
    <t>W012300</t>
  </si>
  <si>
    <t>W2527424</t>
  </si>
  <si>
    <t>261719</t>
  </si>
  <si>
    <t>6543982</t>
  </si>
  <si>
    <t>A319672</t>
  </si>
  <si>
    <t>CASSELL</t>
  </si>
  <si>
    <t>W012321</t>
  </si>
  <si>
    <t>W2527439</t>
  </si>
  <si>
    <t>278386</t>
  </si>
  <si>
    <t>6517946</t>
  </si>
  <si>
    <t>A319706</t>
  </si>
  <si>
    <t>POWELL</t>
  </si>
  <si>
    <t>CHRISTIAN</t>
  </si>
  <si>
    <t>W012324</t>
  </si>
  <si>
    <t>K2359022</t>
  </si>
  <si>
    <t>278388</t>
  </si>
  <si>
    <t>6517967</t>
  </si>
  <si>
    <t>A319720</t>
  </si>
  <si>
    <t>BRADY</t>
  </si>
  <si>
    <t>W012353</t>
  </si>
  <si>
    <t>W2488299</t>
  </si>
  <si>
    <t>00041716</t>
  </si>
  <si>
    <t>74106854</t>
  </si>
  <si>
    <t>A319721</t>
  </si>
  <si>
    <t>MCCORMICK</t>
  </si>
  <si>
    <t>LOGAN</t>
  </si>
  <si>
    <t>W012389</t>
  </si>
  <si>
    <t>W2527447</t>
  </si>
  <si>
    <t>278399</t>
  </si>
  <si>
    <t>A319743</t>
  </si>
  <si>
    <t>VELASQUEZ</t>
  </si>
  <si>
    <t>GERARDO</t>
  </si>
  <si>
    <t>W012394</t>
  </si>
  <si>
    <t>1013265</t>
  </si>
  <si>
    <t>439482</t>
  </si>
  <si>
    <t>6507759</t>
  </si>
  <si>
    <t>A319748</t>
  </si>
  <si>
    <t>DALEY</t>
  </si>
  <si>
    <t>NICKLAUS</t>
  </si>
  <si>
    <t>W012407</t>
  </si>
  <si>
    <t>W2488311</t>
  </si>
  <si>
    <t>278441</t>
  </si>
  <si>
    <t>612</t>
  </si>
  <si>
    <t>A319753</t>
  </si>
  <si>
    <t>CHURCHMAN</t>
  </si>
  <si>
    <t>CASON</t>
  </si>
  <si>
    <t>W012452</t>
  </si>
  <si>
    <t>W2530105</t>
  </si>
  <si>
    <t>278442</t>
  </si>
  <si>
    <t>74106859</t>
  </si>
  <si>
    <t>A319887</t>
  </si>
  <si>
    <t>PARRY</t>
  </si>
  <si>
    <t>W012468</t>
  </si>
  <si>
    <t>W2488307</t>
  </si>
  <si>
    <t>439353</t>
  </si>
  <si>
    <t>U110580</t>
  </si>
  <si>
    <t>ELC-05-42128</t>
  </si>
  <si>
    <t>439307</t>
  </si>
  <si>
    <t>A319888</t>
  </si>
  <si>
    <t>TROSCH</t>
  </si>
  <si>
    <t>GARRET</t>
  </si>
  <si>
    <t>W012472</t>
  </si>
  <si>
    <t>W2488300</t>
  </si>
  <si>
    <t>278444</t>
  </si>
  <si>
    <t>74106845</t>
  </si>
  <si>
    <t>A319893</t>
  </si>
  <si>
    <t>HQ</t>
  </si>
  <si>
    <t>JIMENEZ</t>
  </si>
  <si>
    <t>W012520</t>
  </si>
  <si>
    <t>518609</t>
  </si>
  <si>
    <t>278391</t>
  </si>
  <si>
    <t>6542870</t>
  </si>
  <si>
    <t>A319894</t>
  </si>
  <si>
    <t>ZENGER</t>
  </si>
  <si>
    <t>ERIC</t>
  </si>
  <si>
    <t>W012508</t>
  </si>
  <si>
    <t>A0488873</t>
  </si>
  <si>
    <t>6517960</t>
  </si>
  <si>
    <t>A319897</t>
  </si>
  <si>
    <t>CPT</t>
  </si>
  <si>
    <t>MATTHEWS</t>
  </si>
  <si>
    <t>DAVID</t>
  </si>
  <si>
    <t>W012924</t>
  </si>
  <si>
    <t>043591</t>
  </si>
  <si>
    <t>395397</t>
  </si>
  <si>
    <t>6518486</t>
  </si>
  <si>
    <t>A319899</t>
  </si>
  <si>
    <t>CONDON</t>
  </si>
  <si>
    <t>W012938</t>
  </si>
  <si>
    <t>165819</t>
  </si>
  <si>
    <t>395401</t>
  </si>
  <si>
    <t>584</t>
  </si>
  <si>
    <t>A319909</t>
  </si>
  <si>
    <t>MCJIMSON</t>
  </si>
  <si>
    <t>GENERAL</t>
  </si>
  <si>
    <t>W013230</t>
  </si>
  <si>
    <t>W2108895</t>
  </si>
  <si>
    <t>278445</t>
  </si>
  <si>
    <t>6541918</t>
  </si>
  <si>
    <t>A319918</t>
  </si>
  <si>
    <t>SMITHERS</t>
  </si>
  <si>
    <t>MICHAEL</t>
  </si>
  <si>
    <t>W013260</t>
  </si>
  <si>
    <t>W2527376</t>
  </si>
  <si>
    <t>395402</t>
  </si>
  <si>
    <t>6541745</t>
  </si>
  <si>
    <t>A320030</t>
  </si>
  <si>
    <t>ROBERTS</t>
  </si>
  <si>
    <t>ROMARIO</t>
  </si>
  <si>
    <t>W038096</t>
  </si>
  <si>
    <t>983748</t>
  </si>
  <si>
    <t>395403</t>
  </si>
  <si>
    <t>74106798</t>
  </si>
  <si>
    <t>A320128</t>
  </si>
  <si>
    <t>S1</t>
  </si>
  <si>
    <t>y</t>
  </si>
  <si>
    <t>W039113</t>
  </si>
  <si>
    <t>254</t>
  </si>
  <si>
    <t>395405</t>
  </si>
  <si>
    <t>A320134</t>
  </si>
  <si>
    <t>KAICHER</t>
  </si>
  <si>
    <t>JONATHAN</t>
  </si>
  <si>
    <t>W039489</t>
  </si>
  <si>
    <t>165839</t>
  </si>
  <si>
    <t>395406</t>
  </si>
  <si>
    <t>6541875</t>
  </si>
  <si>
    <t>A320142</t>
  </si>
  <si>
    <t>DOYLE</t>
  </si>
  <si>
    <t>TRISTON</t>
  </si>
  <si>
    <t>W039509</t>
  </si>
  <si>
    <t>W2487347</t>
  </si>
  <si>
    <t>395407</t>
  </si>
  <si>
    <t>6518625</t>
  </si>
  <si>
    <t>A320143</t>
  </si>
  <si>
    <t>MEDINA</t>
  </si>
  <si>
    <t>LUIS</t>
  </si>
  <si>
    <t>W039546</t>
  </si>
  <si>
    <t>W2129797</t>
  </si>
  <si>
    <t>395409</t>
  </si>
  <si>
    <t>A320144</t>
  </si>
  <si>
    <t>MARSH</t>
  </si>
  <si>
    <t>WILLIAM</t>
  </si>
  <si>
    <t>W039593</t>
  </si>
  <si>
    <t>146930</t>
  </si>
  <si>
    <t>239315</t>
  </si>
  <si>
    <t>A320145</t>
  </si>
  <si>
    <t>SYMONETTE</t>
  </si>
  <si>
    <t>JESSE</t>
  </si>
  <si>
    <t>W039653</t>
  </si>
  <si>
    <t>W2487337</t>
  </si>
  <si>
    <t>00056094</t>
  </si>
  <si>
    <t>A320151</t>
  </si>
  <si>
    <t>BOBBITT</t>
  </si>
  <si>
    <t>SAMUEL</t>
  </si>
  <si>
    <t>W039863</t>
  </si>
  <si>
    <t>146898</t>
  </si>
  <si>
    <t>00056104</t>
  </si>
  <si>
    <t>A320370</t>
  </si>
  <si>
    <t>S2</t>
  </si>
  <si>
    <t>LAWSON</t>
  </si>
  <si>
    <t>W039882</t>
  </si>
  <si>
    <t>W2108215</t>
  </si>
  <si>
    <t>00041689</t>
  </si>
  <si>
    <t>6543908</t>
  </si>
  <si>
    <t>A320376</t>
  </si>
  <si>
    <t>HUGHES</t>
  </si>
  <si>
    <t>HANNA</t>
  </si>
  <si>
    <t>W040007</t>
  </si>
  <si>
    <t>W2108226</t>
  </si>
  <si>
    <t>00041925</t>
  </si>
  <si>
    <t>6550460</t>
  </si>
  <si>
    <t>M107</t>
  </si>
  <si>
    <t>12363</t>
  </si>
  <si>
    <t>SIGHT</t>
  </si>
  <si>
    <t>338562K</t>
  </si>
  <si>
    <t>A320380</t>
  </si>
  <si>
    <t>SHELTON</t>
  </si>
  <si>
    <t>NICHOLAS</t>
  </si>
  <si>
    <t>W040015</t>
  </si>
  <si>
    <t>W2487325</t>
  </si>
  <si>
    <t>395414</t>
  </si>
  <si>
    <t>74106801</t>
  </si>
  <si>
    <t>A320382</t>
  </si>
  <si>
    <t>2LT</t>
  </si>
  <si>
    <t>MOUGHAN</t>
  </si>
  <si>
    <t>SEAN</t>
  </si>
  <si>
    <t>W040167</t>
  </si>
  <si>
    <t>982966</t>
  </si>
  <si>
    <t>395412</t>
  </si>
  <si>
    <t>12359</t>
  </si>
  <si>
    <t>236314K</t>
  </si>
  <si>
    <t>A320386</t>
  </si>
  <si>
    <t>DAVIS</t>
  </si>
  <si>
    <t>MATTHEW</t>
  </si>
  <si>
    <t>W040168</t>
  </si>
  <si>
    <t>W2488313</t>
  </si>
  <si>
    <t>00042142</t>
  </si>
  <si>
    <t>6533514</t>
  </si>
  <si>
    <t>A320389</t>
  </si>
  <si>
    <t>SAWYER</t>
  </si>
  <si>
    <t>W040179</t>
  </si>
  <si>
    <t>K2225779</t>
  </si>
  <si>
    <t>395449</t>
  </si>
  <si>
    <t>CICO</t>
  </si>
  <si>
    <t>LORENZO</t>
  </si>
  <si>
    <t>W044044</t>
  </si>
  <si>
    <t>K2056315</t>
  </si>
  <si>
    <t>395450</t>
  </si>
  <si>
    <t>6543979</t>
  </si>
  <si>
    <t>A320393</t>
  </si>
  <si>
    <t>CMD</t>
  </si>
  <si>
    <t>LTC</t>
  </si>
  <si>
    <t>HALLOWS</t>
  </si>
  <si>
    <t>W044045</t>
  </si>
  <si>
    <t>552641</t>
  </si>
  <si>
    <t>395451</t>
  </si>
  <si>
    <t>6518491</t>
  </si>
  <si>
    <t>M9</t>
  </si>
  <si>
    <t>1051200</t>
  </si>
  <si>
    <t>A320395</t>
  </si>
  <si>
    <t>CSM</t>
  </si>
  <si>
    <t>HUYNH</t>
  </si>
  <si>
    <t>THINH</t>
  </si>
  <si>
    <t>W044298</t>
  </si>
  <si>
    <t>584641</t>
  </si>
  <si>
    <t>397605</t>
  </si>
  <si>
    <t>6507729</t>
  </si>
  <si>
    <t>1052355</t>
  </si>
  <si>
    <t>A320399</t>
  </si>
  <si>
    <t>MAJ</t>
  </si>
  <si>
    <t>AMMONS</t>
  </si>
  <si>
    <t>BARRY</t>
  </si>
  <si>
    <t>W044312</t>
  </si>
  <si>
    <t>W2488317</t>
  </si>
  <si>
    <t>398357</t>
  </si>
  <si>
    <t>6518493</t>
  </si>
  <si>
    <t>1063588</t>
  </si>
  <si>
    <t>A320400</t>
  </si>
  <si>
    <t>ROBINSON</t>
  </si>
  <si>
    <t>ANDREW</t>
  </si>
  <si>
    <t>W047661</t>
  </si>
  <si>
    <t>398427</t>
  </si>
  <si>
    <t>6550567</t>
  </si>
  <si>
    <t>1063650</t>
  </si>
  <si>
    <t>A320401</t>
  </si>
  <si>
    <t>SGM</t>
  </si>
  <si>
    <t>MENDEZ</t>
  </si>
  <si>
    <t>JOEY</t>
  </si>
  <si>
    <t>W047662</t>
  </si>
  <si>
    <t>W2490398</t>
  </si>
  <si>
    <t>398505</t>
  </si>
  <si>
    <t>6518440</t>
  </si>
  <si>
    <t>1063997</t>
  </si>
  <si>
    <t>A320407</t>
  </si>
  <si>
    <t>S3</t>
  </si>
  <si>
    <t>FRITTS</t>
  </si>
  <si>
    <t>JOSHUA</t>
  </si>
  <si>
    <t>W047680</t>
  </si>
  <si>
    <t>W2490397</t>
  </si>
  <si>
    <t>398506</t>
  </si>
  <si>
    <t>U109455</t>
  </si>
  <si>
    <t>ELC-05-58074</t>
  </si>
  <si>
    <t>443161</t>
  </si>
  <si>
    <t>A320762</t>
  </si>
  <si>
    <t>BAUMEISTER</t>
  </si>
  <si>
    <t>W047693</t>
  </si>
  <si>
    <t>W2490396</t>
  </si>
  <si>
    <t>398508</t>
  </si>
  <si>
    <t>6543957</t>
  </si>
  <si>
    <t>1047377</t>
  </si>
  <si>
    <t>A320823</t>
  </si>
  <si>
    <t>BUECHELE</t>
  </si>
  <si>
    <t>W047696</t>
  </si>
  <si>
    <t>W2488318</t>
  </si>
  <si>
    <t>398510</t>
  </si>
  <si>
    <t>6517909</t>
  </si>
  <si>
    <t>A320838</t>
  </si>
  <si>
    <t>BOGER</t>
  </si>
  <si>
    <t>W047725</t>
  </si>
  <si>
    <t>W2490392</t>
  </si>
  <si>
    <t>438573</t>
  </si>
  <si>
    <t>U102990</t>
  </si>
  <si>
    <t>ELC-05-57453</t>
  </si>
  <si>
    <t>00056027</t>
  </si>
  <si>
    <t>A320848</t>
  </si>
  <si>
    <t>MEROLA</t>
  </si>
  <si>
    <t>ZACHARY</t>
  </si>
  <si>
    <t>W047741</t>
  </si>
  <si>
    <t>A0514275</t>
  </si>
  <si>
    <t>395411</t>
  </si>
  <si>
    <t>A320855</t>
  </si>
  <si>
    <t>BENNETT</t>
  </si>
  <si>
    <t>W047750</t>
  </si>
  <si>
    <t>W2487335</t>
  </si>
  <si>
    <t>439049</t>
  </si>
  <si>
    <t>A320862</t>
  </si>
  <si>
    <t>MAIER</t>
  </si>
  <si>
    <t>W047759</t>
  </si>
  <si>
    <t>W2488302</t>
  </si>
  <si>
    <t>00056426</t>
  </si>
  <si>
    <t>606</t>
  </si>
  <si>
    <t>A321013</t>
  </si>
  <si>
    <t>MAYS</t>
  </si>
  <si>
    <t>HS</t>
  </si>
  <si>
    <t>W047760</t>
  </si>
  <si>
    <t>W2488298</t>
  </si>
  <si>
    <t>239471</t>
  </si>
  <si>
    <t>3288</t>
  </si>
  <si>
    <t>A321028</t>
  </si>
  <si>
    <t>SWISTARA</t>
  </si>
  <si>
    <t>RICHARD</t>
  </si>
  <si>
    <t>W047773</t>
  </si>
  <si>
    <t>552069</t>
  </si>
  <si>
    <t>00056441</t>
  </si>
  <si>
    <t>A321029</t>
  </si>
  <si>
    <t>W047789</t>
  </si>
  <si>
    <t>1013226</t>
  </si>
  <si>
    <t>439308</t>
  </si>
  <si>
    <t>A321130</t>
  </si>
  <si>
    <t>SELIG</t>
  </si>
  <si>
    <t>W047793</t>
  </si>
  <si>
    <t>1013229</t>
  </si>
  <si>
    <t>439518</t>
  </si>
  <si>
    <t>6550803</t>
  </si>
  <si>
    <t>A321145</t>
  </si>
  <si>
    <t>RODINO</t>
  </si>
  <si>
    <t>ALEXANDER</t>
  </si>
  <si>
    <t>W047794</t>
  </si>
  <si>
    <t>1013232</t>
  </si>
  <si>
    <t>00056497</t>
  </si>
  <si>
    <t>A321146</t>
  </si>
  <si>
    <t>S4</t>
  </si>
  <si>
    <t>RODRIGUEZ</t>
  </si>
  <si>
    <t>JAVIER</t>
  </si>
  <si>
    <t>W047800</t>
  </si>
  <si>
    <t>1013239</t>
  </si>
  <si>
    <t>439471</t>
  </si>
  <si>
    <t>6543975</t>
  </si>
  <si>
    <t>A321156</t>
  </si>
  <si>
    <t>DATER</t>
  </si>
  <si>
    <t>W047803</t>
  </si>
  <si>
    <t>1013249</t>
  </si>
  <si>
    <t>439498</t>
  </si>
  <si>
    <t>6517958</t>
  </si>
  <si>
    <t>A321160</t>
  </si>
  <si>
    <t>ROMAN</t>
  </si>
  <si>
    <t>ULISES</t>
  </si>
  <si>
    <t>W047805</t>
  </si>
  <si>
    <t>W2488315</t>
  </si>
  <si>
    <t>439512</t>
  </si>
  <si>
    <t>6542877</t>
  </si>
  <si>
    <t>A321166</t>
  </si>
  <si>
    <t>S6</t>
  </si>
  <si>
    <t>DENZEL</t>
  </si>
  <si>
    <t>W047812</t>
  </si>
  <si>
    <t>1013254</t>
  </si>
  <si>
    <t>439517</t>
  </si>
  <si>
    <t xml:space="preserve">6517927  </t>
  </si>
  <si>
    <t>A321175</t>
  </si>
  <si>
    <t>GAUSE</t>
  </si>
  <si>
    <t>EMMETT</t>
  </si>
  <si>
    <t>W047818</t>
  </si>
  <si>
    <t>W2128095</t>
  </si>
  <si>
    <t>440369</t>
  </si>
  <si>
    <t>54621334</t>
  </si>
  <si>
    <t>A321191</t>
  </si>
  <si>
    <t>GALLIK</t>
  </si>
  <si>
    <t>W047823</t>
  </si>
  <si>
    <t>1013266</t>
  </si>
  <si>
    <t>442112</t>
  </si>
  <si>
    <t>6517911</t>
  </si>
  <si>
    <t>A321393</t>
  </si>
  <si>
    <t>MARQUISE</t>
  </si>
  <si>
    <t>W047828</t>
  </si>
  <si>
    <t>W2067513</t>
  </si>
  <si>
    <t>260893</t>
  </si>
  <si>
    <t>6542862</t>
  </si>
  <si>
    <t>A321394</t>
  </si>
  <si>
    <t>W047829</t>
  </si>
  <si>
    <t>W2487343</t>
  </si>
  <si>
    <t>443013</t>
  </si>
  <si>
    <t>A321398</t>
  </si>
  <si>
    <t>SMITH</t>
  </si>
  <si>
    <t>DANTE</t>
  </si>
  <si>
    <t>W047830</t>
  </si>
  <si>
    <t>K2359030</t>
  </si>
  <si>
    <t>443018</t>
  </si>
  <si>
    <t>6543962</t>
  </si>
  <si>
    <t>A321412</t>
  </si>
  <si>
    <t>COASEY</t>
  </si>
  <si>
    <t>DEMETRIS</t>
  </si>
  <si>
    <t>W047842</t>
  </si>
  <si>
    <t>W2487349</t>
  </si>
  <si>
    <t>443045</t>
  </si>
  <si>
    <t>6542854</t>
  </si>
  <si>
    <t>A321415</t>
  </si>
  <si>
    <t>HANNAH</t>
  </si>
  <si>
    <t>W678379</t>
  </si>
  <si>
    <t>W2488297</t>
  </si>
  <si>
    <t>00041684</t>
  </si>
  <si>
    <t>6543974</t>
  </si>
  <si>
    <t>SUREFIRE</t>
  </si>
  <si>
    <t>A013859</t>
  </si>
  <si>
    <t>ANTHONY</t>
  </si>
  <si>
    <t>PHIL</t>
  </si>
  <si>
    <t>W047862</t>
  </si>
  <si>
    <t>W2129801</t>
  </si>
  <si>
    <t>00056422</t>
  </si>
  <si>
    <t>6518488</t>
  </si>
  <si>
    <t>A019595</t>
  </si>
  <si>
    <t>JENKINS</t>
  </si>
  <si>
    <t>DARYNE</t>
  </si>
  <si>
    <t>W047882</t>
  </si>
  <si>
    <t>W2487339</t>
  </si>
  <si>
    <t>00049945</t>
  </si>
  <si>
    <t>6507753</t>
  </si>
  <si>
    <t>A019607</t>
  </si>
  <si>
    <t>FINN</t>
  </si>
  <si>
    <t>W047902</t>
  </si>
  <si>
    <t>159489</t>
  </si>
  <si>
    <t>00056086</t>
  </si>
  <si>
    <t>6543517</t>
  </si>
  <si>
    <t>LAPTOP</t>
  </si>
  <si>
    <t>2TK83801XB</t>
  </si>
  <si>
    <t>001459</t>
  </si>
  <si>
    <t>A019608</t>
  </si>
  <si>
    <t>A019626</t>
  </si>
  <si>
    <t>W047907</t>
  </si>
  <si>
    <t>A019627</t>
  </si>
  <si>
    <t>MILES</t>
  </si>
  <si>
    <t>W047914</t>
  </si>
  <si>
    <t>159524</t>
  </si>
  <si>
    <t>443229</t>
  </si>
  <si>
    <t>A019698</t>
  </si>
  <si>
    <t>KIM</t>
  </si>
  <si>
    <t>MARK</t>
  </si>
  <si>
    <t>W047916</t>
  </si>
  <si>
    <t>W2530130</t>
  </si>
  <si>
    <t>443236</t>
  </si>
  <si>
    <t>6517932</t>
  </si>
  <si>
    <t>A019713</t>
  </si>
  <si>
    <t>HOUSTON</t>
  </si>
  <si>
    <t>JORDAN</t>
  </si>
  <si>
    <t>W047941</t>
  </si>
  <si>
    <t>K2359032</t>
  </si>
  <si>
    <t>443309</t>
  </si>
  <si>
    <t>A019734</t>
  </si>
  <si>
    <t>DELAUDER</t>
  </si>
  <si>
    <t>KARYN</t>
  </si>
  <si>
    <t>W047954</t>
  </si>
  <si>
    <t>K2359041</t>
  </si>
  <si>
    <t>439456</t>
  </si>
  <si>
    <t>A019735</t>
  </si>
  <si>
    <t>new</t>
  </si>
  <si>
    <t>HICKS</t>
  </si>
  <si>
    <t>W048005</t>
  </si>
  <si>
    <t>W2053863</t>
  </si>
  <si>
    <t>00049949</t>
  </si>
  <si>
    <t>6517931</t>
  </si>
  <si>
    <t>A019765</t>
  </si>
  <si>
    <t>KOOKEN</t>
  </si>
  <si>
    <t>W048009</t>
  </si>
  <si>
    <t>523847</t>
  </si>
  <si>
    <t>260744</t>
  </si>
  <si>
    <t>6543966</t>
  </si>
  <si>
    <t>A019768</t>
  </si>
  <si>
    <t>GOSEWICH</t>
  </si>
  <si>
    <t>JAKE</t>
  </si>
  <si>
    <t>W048085</t>
  </si>
  <si>
    <t>W2487643</t>
  </si>
  <si>
    <t>261718</t>
  </si>
  <si>
    <t>6541118</t>
  </si>
  <si>
    <t>A019831</t>
  </si>
  <si>
    <t>W048119</t>
  </si>
  <si>
    <t>599873</t>
  </si>
  <si>
    <t>443138</t>
  </si>
  <si>
    <t>3170</t>
  </si>
  <si>
    <t>1051185</t>
  </si>
  <si>
    <t>SLOAN</t>
  </si>
  <si>
    <t>CORY</t>
  </si>
  <si>
    <t>W048122</t>
  </si>
  <si>
    <t>K2359031</t>
  </si>
  <si>
    <t>00056085</t>
  </si>
  <si>
    <t>74106850</t>
  </si>
  <si>
    <t>A019890</t>
  </si>
  <si>
    <t>DEAL</t>
  </si>
  <si>
    <t>W048168</t>
  </si>
  <si>
    <t>1015410</t>
  </si>
  <si>
    <t>6542857</t>
  </si>
  <si>
    <t>1051193</t>
  </si>
  <si>
    <t>A019933</t>
  </si>
  <si>
    <t>DONNELLY</t>
  </si>
  <si>
    <t>DYLAN</t>
  </si>
  <si>
    <t>W048175</t>
  </si>
  <si>
    <t>981843</t>
  </si>
  <si>
    <t>442913</t>
  </si>
  <si>
    <t>6507726</t>
  </si>
  <si>
    <t>005115</t>
  </si>
  <si>
    <t>A019940</t>
  </si>
  <si>
    <t>BUTTS</t>
  </si>
  <si>
    <t>ZACKERY</t>
  </si>
  <si>
    <t>W048204</t>
  </si>
  <si>
    <t>983231</t>
  </si>
  <si>
    <t>439306</t>
  </si>
  <si>
    <t>6542876</t>
  </si>
  <si>
    <t>A019969</t>
  </si>
  <si>
    <t>COLON</t>
  </si>
  <si>
    <t>W048237</t>
  </si>
  <si>
    <t>981846</t>
  </si>
  <si>
    <t>00041966</t>
  </si>
  <si>
    <t>6533510</t>
  </si>
  <si>
    <t>A020006</t>
  </si>
  <si>
    <t>KREISH</t>
  </si>
  <si>
    <t>DUSTIN</t>
  </si>
  <si>
    <t>W048265</t>
  </si>
  <si>
    <t>981854</t>
  </si>
  <si>
    <t>00041705</t>
  </si>
  <si>
    <t>6543968</t>
  </si>
  <si>
    <t>A020020</t>
  </si>
  <si>
    <t>PETTIT</t>
  </si>
  <si>
    <t>W048271</t>
  </si>
  <si>
    <t>W2108231</t>
  </si>
  <si>
    <t>00056455</t>
  </si>
  <si>
    <t>6542871</t>
  </si>
  <si>
    <t>1047255</t>
  </si>
  <si>
    <t>A020025</t>
  </si>
  <si>
    <t>CYR</t>
  </si>
  <si>
    <t>SCHYLAR</t>
  </si>
  <si>
    <t>W048281</t>
  </si>
  <si>
    <t>982896</t>
  </si>
  <si>
    <t>A020030</t>
  </si>
  <si>
    <t>SUAREZ</t>
  </si>
  <si>
    <t>W048284</t>
  </si>
  <si>
    <t>981844</t>
  </si>
  <si>
    <t>00039714</t>
  </si>
  <si>
    <t>74106819</t>
  </si>
  <si>
    <t>A020032</t>
  </si>
  <si>
    <t>WOODS</t>
  </si>
  <si>
    <t>W048288</t>
  </si>
  <si>
    <t>W2108892</t>
  </si>
  <si>
    <t>00056398</t>
  </si>
  <si>
    <t>6518499</t>
  </si>
  <si>
    <t>2TK83801ZN</t>
  </si>
  <si>
    <t>001909</t>
  </si>
  <si>
    <t>A020146</t>
  </si>
  <si>
    <t>TALBERT</t>
  </si>
  <si>
    <t>W048694</t>
  </si>
  <si>
    <t>983719</t>
  </si>
  <si>
    <t>443202</t>
  </si>
  <si>
    <t>1047234</t>
  </si>
  <si>
    <t>A020162</t>
  </si>
  <si>
    <t>W048716</t>
  </si>
  <si>
    <t>W2488306</t>
  </si>
  <si>
    <t>KOO</t>
  </si>
  <si>
    <t>INHOI</t>
  </si>
  <si>
    <t>W048718</t>
  </si>
  <si>
    <t>W2108214</t>
  </si>
  <si>
    <t>A020172</t>
  </si>
  <si>
    <t>STEWART</t>
  </si>
  <si>
    <t>W048721</t>
  </si>
  <si>
    <t>983796</t>
  </si>
  <si>
    <t>00056059</t>
  </si>
  <si>
    <t>6518497</t>
  </si>
  <si>
    <t>001915</t>
  </si>
  <si>
    <t>A020203</t>
  </si>
  <si>
    <t>ROSS</t>
  </si>
  <si>
    <t>W048730</t>
  </si>
  <si>
    <t>1013264</t>
  </si>
  <si>
    <t>A020206</t>
  </si>
  <si>
    <t>RUSSELL</t>
  </si>
  <si>
    <t>LORNE</t>
  </si>
  <si>
    <t>W582105</t>
  </si>
  <si>
    <t>W2487348</t>
  </si>
  <si>
    <t>6542697</t>
  </si>
  <si>
    <t>A020562</t>
  </si>
  <si>
    <t>BOLGIANO</t>
  </si>
  <si>
    <t>W689237</t>
  </si>
  <si>
    <t>K2225748</t>
  </si>
  <si>
    <t>239448</t>
  </si>
  <si>
    <t>6542733</t>
  </si>
  <si>
    <t>A020709</t>
  </si>
  <si>
    <t>MARTINEZ</t>
  </si>
  <si>
    <t>DANIEL</t>
  </si>
  <si>
    <t>W689737</t>
  </si>
  <si>
    <t>A020724</t>
  </si>
  <si>
    <t>ALICEAPEREZ</t>
  </si>
  <si>
    <t>W583600</t>
  </si>
  <si>
    <t>983475</t>
  </si>
  <si>
    <t>6507771</t>
  </si>
  <si>
    <t>LARRABEE</t>
  </si>
  <si>
    <t>COLIN</t>
  </si>
  <si>
    <t>W048325</t>
  </si>
  <si>
    <t>W2487333</t>
  </si>
  <si>
    <t>00041694</t>
  </si>
  <si>
    <t>A020726</t>
  </si>
  <si>
    <t>MCGINNIS</t>
  </si>
  <si>
    <t>THOMAS</t>
  </si>
  <si>
    <t>W048243</t>
  </si>
  <si>
    <t>W2083743</t>
  </si>
  <si>
    <t>00041987</t>
  </si>
  <si>
    <t>3240</t>
  </si>
  <si>
    <t>1495289</t>
  </si>
  <si>
    <t>A020732</t>
  </si>
  <si>
    <t>CALLOW</t>
  </si>
  <si>
    <t>W048123</t>
  </si>
  <si>
    <t>W2108211</t>
  </si>
  <si>
    <t>00042152</t>
  </si>
  <si>
    <t>54621416</t>
  </si>
  <si>
    <t>A020748</t>
  </si>
  <si>
    <t>MANN</t>
  </si>
  <si>
    <t>JOHN</t>
  </si>
  <si>
    <t>W677674</t>
  </si>
  <si>
    <t>624805</t>
  </si>
  <si>
    <t>00042143</t>
  </si>
  <si>
    <t>6517934</t>
  </si>
  <si>
    <t>A020774</t>
  </si>
  <si>
    <t>KESSEL</t>
  </si>
  <si>
    <t>W047866</t>
  </si>
  <si>
    <t>W2487341</t>
  </si>
  <si>
    <t>00041680</t>
  </si>
  <si>
    <t>74106818</t>
  </si>
  <si>
    <t>A020821</t>
  </si>
  <si>
    <t>PVT</t>
  </si>
  <si>
    <t>FLORES</t>
  </si>
  <si>
    <t>ELVIS</t>
  </si>
  <si>
    <t>W036192</t>
  </si>
  <si>
    <t>W2487626</t>
  </si>
  <si>
    <t>00041687</t>
  </si>
  <si>
    <t>6517940</t>
  </si>
  <si>
    <t>A020837</t>
  </si>
  <si>
    <t>SETTLE</t>
  </si>
  <si>
    <t>W011748</t>
  </si>
  <si>
    <t>W2527443</t>
  </si>
  <si>
    <t>00056042</t>
  </si>
  <si>
    <t>OLSEN</t>
  </si>
  <si>
    <t>W047966</t>
  </si>
  <si>
    <t>W2067512</t>
  </si>
  <si>
    <t>00041933</t>
  </si>
  <si>
    <t>6517916</t>
  </si>
  <si>
    <t>A020982</t>
  </si>
  <si>
    <t>CHANNEL</t>
  </si>
  <si>
    <t>W047832</t>
  </si>
  <si>
    <t>W2487637</t>
  </si>
  <si>
    <t>00041688</t>
  </si>
  <si>
    <t>A021147</t>
  </si>
  <si>
    <t>QUINTANILLA</t>
  </si>
  <si>
    <t>MARILYNN</t>
  </si>
  <si>
    <t>W011636</t>
  </si>
  <si>
    <t>K2220051</t>
  </si>
  <si>
    <t>00041946</t>
  </si>
  <si>
    <t>74106805</t>
  </si>
  <si>
    <t>A021304</t>
  </si>
  <si>
    <t>EDSON</t>
  </si>
  <si>
    <t>W048088</t>
  </si>
  <si>
    <t>W2487331</t>
  </si>
  <si>
    <t>6541401</t>
  </si>
  <si>
    <t>A021403</t>
  </si>
  <si>
    <t>ARMSTRONG</t>
  </si>
  <si>
    <t>W047735</t>
  </si>
  <si>
    <t>W2488312</t>
  </si>
  <si>
    <t>00041952</t>
  </si>
  <si>
    <t>6543965</t>
  </si>
  <si>
    <t>A021427</t>
  </si>
  <si>
    <t>ANDERSON</t>
  </si>
  <si>
    <t>W048693</t>
  </si>
  <si>
    <t>EOTECH</t>
  </si>
  <si>
    <t>117658</t>
  </si>
  <si>
    <t>00056087</t>
  </si>
  <si>
    <t>ARMEL</t>
  </si>
  <si>
    <t>ISAAC</t>
  </si>
  <si>
    <t>W047783</t>
  </si>
  <si>
    <t>983740</t>
  </si>
  <si>
    <t>00056071</t>
  </si>
  <si>
    <t>A021443</t>
  </si>
  <si>
    <t>A021445</t>
  </si>
  <si>
    <t>W690523</t>
  </si>
  <si>
    <t>W2490410</t>
  </si>
  <si>
    <t>A021533</t>
  </si>
  <si>
    <t>A021643</t>
  </si>
  <si>
    <t>A021648</t>
  </si>
  <si>
    <t>A021701</t>
  </si>
  <si>
    <t>1045145</t>
  </si>
  <si>
    <t>A021730</t>
  </si>
  <si>
    <t>A021738</t>
  </si>
  <si>
    <t>1001272</t>
  </si>
  <si>
    <t>A021757</t>
  </si>
  <si>
    <t>A021770</t>
  </si>
  <si>
    <t>SHAMESS</t>
  </si>
  <si>
    <t>JEFFREY</t>
  </si>
  <si>
    <t>1</t>
  </si>
  <si>
    <t>2</t>
  </si>
  <si>
    <t>3</t>
  </si>
  <si>
    <t>4</t>
  </si>
  <si>
    <t>5</t>
  </si>
  <si>
    <t>6</t>
  </si>
  <si>
    <t>1049920</t>
  </si>
  <si>
    <t>7</t>
  </si>
  <si>
    <t>JOB</t>
  </si>
  <si>
    <t>KEVIN</t>
  </si>
  <si>
    <t>1049952</t>
  </si>
  <si>
    <t>8</t>
  </si>
  <si>
    <t>MCGEE</t>
  </si>
  <si>
    <t>CHASE</t>
  </si>
  <si>
    <t>1051159</t>
  </si>
  <si>
    <t>9</t>
  </si>
  <si>
    <t>HORVATH</t>
  </si>
  <si>
    <t>1051161</t>
  </si>
  <si>
    <t>10</t>
  </si>
  <si>
    <t>SKINNER</t>
  </si>
  <si>
    <t>NATHAN</t>
  </si>
  <si>
    <t>1051164</t>
  </si>
  <si>
    <t>11</t>
  </si>
  <si>
    <t>OCCHIPINTI</t>
  </si>
  <si>
    <t>PIERCE</t>
  </si>
  <si>
    <t>1051169</t>
  </si>
  <si>
    <t>12</t>
  </si>
  <si>
    <t>13</t>
  </si>
  <si>
    <t>CARROLL</t>
  </si>
  <si>
    <t>1051186</t>
  </si>
  <si>
    <t>14</t>
  </si>
  <si>
    <t>15</t>
  </si>
  <si>
    <t>LANE</t>
  </si>
  <si>
    <t>1051195</t>
  </si>
  <si>
    <t>16</t>
  </si>
  <si>
    <t>MCFALL</t>
  </si>
  <si>
    <t>ZACHARIAH</t>
  </si>
  <si>
    <t>1051196</t>
  </si>
  <si>
    <t>17</t>
  </si>
  <si>
    <t>18</t>
  </si>
  <si>
    <t>19</t>
  </si>
  <si>
    <t>20</t>
  </si>
  <si>
    <t>21</t>
  </si>
  <si>
    <t>22</t>
  </si>
  <si>
    <t>1096219</t>
  </si>
  <si>
    <t>23</t>
  </si>
  <si>
    <t>1147534</t>
  </si>
  <si>
    <t>24</t>
  </si>
  <si>
    <t>1157991</t>
  </si>
  <si>
    <t>25</t>
  </si>
  <si>
    <t>BROWNDEHNER</t>
  </si>
  <si>
    <t>JASON</t>
  </si>
  <si>
    <t>1182481</t>
  </si>
  <si>
    <t>26</t>
  </si>
  <si>
    <t>1196959</t>
  </si>
  <si>
    <t>27</t>
  </si>
  <si>
    <t>1196962</t>
  </si>
  <si>
    <t>28</t>
  </si>
  <si>
    <t>1196972</t>
  </si>
  <si>
    <t>29</t>
  </si>
  <si>
    <t>1323516</t>
  </si>
  <si>
    <t>30</t>
  </si>
  <si>
    <t>1495041</t>
  </si>
  <si>
    <t>31</t>
  </si>
  <si>
    <t>1495284</t>
  </si>
  <si>
    <t>32</t>
  </si>
  <si>
    <t>POKORNY</t>
  </si>
  <si>
    <t>BRADLEY</t>
  </si>
  <si>
    <t>6542734</t>
  </si>
  <si>
    <t>STOCK NO.</t>
  </si>
  <si>
    <t>BENNETT, MICHAEL</t>
  </si>
  <si>
    <t>POKORNY, BRADLEY</t>
  </si>
  <si>
    <t>6542852</t>
  </si>
  <si>
    <t xml:space="preserve">UNASSIGNED, </t>
  </si>
  <si>
    <t>W047905</t>
  </si>
  <si>
    <t>117632</t>
  </si>
  <si>
    <t>443193</t>
  </si>
  <si>
    <t>GEORGIA</t>
  </si>
  <si>
    <t>K2499422</t>
  </si>
  <si>
    <t>00014694</t>
  </si>
  <si>
    <t>W012488</t>
  </si>
  <si>
    <t>W012391</t>
  </si>
  <si>
    <t>W048042</t>
  </si>
  <si>
    <t>W011686</t>
  </si>
  <si>
    <t>W047962</t>
  </si>
  <si>
    <t>W0007136</t>
  </si>
  <si>
    <t>W0008840</t>
  </si>
  <si>
    <t>W048711</t>
  </si>
  <si>
    <t>W0008211</t>
  </si>
  <si>
    <t>W708517</t>
  </si>
  <si>
    <t>00041961</t>
  </si>
  <si>
    <t>POS</t>
  </si>
  <si>
    <t>LN</t>
  </si>
  <si>
    <t>NAME</t>
  </si>
  <si>
    <t>RACK</t>
  </si>
  <si>
    <t>M240</t>
  </si>
  <si>
    <t>1LT MILLIGAN, ROBERT</t>
  </si>
  <si>
    <t>SPC TURBITT, CODY</t>
  </si>
  <si>
    <t>SGT CANIDA, CODY</t>
  </si>
  <si>
    <t>SSG PEREZ, JUAN</t>
  </si>
  <si>
    <t>SPC BEASLEY, WADE</t>
  </si>
  <si>
    <t>CPL JACKSON, KHALIB</t>
  </si>
  <si>
    <t>CPL HOLLIS, SCOTT</t>
  </si>
  <si>
    <t>PFC BERMUDEZ, PETER</t>
  </si>
  <si>
    <t>SGT GIBSON, JAMES</t>
  </si>
  <si>
    <t>439351</t>
  </si>
  <si>
    <t>PFC GILLIARD, BRYSON</t>
  </si>
  <si>
    <t>SPC STROEVE, ETHAN</t>
  </si>
  <si>
    <t>00041907</t>
  </si>
  <si>
    <t>PFC CORREA, JUSTIN</t>
  </si>
  <si>
    <t>PFC HAIRSTON, JUSTIN</t>
  </si>
  <si>
    <t>PFC NEWCOMB, JOSEPH</t>
  </si>
  <si>
    <t>SGT BARNES, TYLER</t>
  </si>
  <si>
    <t>SPC WRIGHT, JACOB</t>
  </si>
  <si>
    <t>SPC REACH, JACOB</t>
  </si>
  <si>
    <t>260899</t>
  </si>
  <si>
    <t>SPC HOMAN, GAVIN</t>
  </si>
  <si>
    <t>SGT BARR, PATRICK</t>
  </si>
  <si>
    <t>PFC FISCHL, RILEY</t>
  </si>
  <si>
    <t>SPC CRAIG, CHARLES</t>
  </si>
  <si>
    <t>SGT LANDRUM, CHRISTOPHER</t>
  </si>
  <si>
    <t>SPC BANCROFT, GRANGER</t>
  </si>
  <si>
    <t>SGT SPENCER, PHILIP</t>
  </si>
  <si>
    <t>PFC JOSKOWITZ, ETHAN</t>
  </si>
  <si>
    <t>SGT LAIRD, TY</t>
  </si>
  <si>
    <t>PFC HOWARD, CAMERON</t>
  </si>
  <si>
    <t>SGT CLINE, BENJAMIN</t>
  </si>
  <si>
    <t>SFC O’SHIELDS, JEREMY</t>
  </si>
  <si>
    <t>1LT BRYANT, CODY</t>
  </si>
  <si>
    <t>SSG FOUNTAIN, RYAN</t>
  </si>
  <si>
    <t>PV2 RUPPAL, HUNTER</t>
  </si>
  <si>
    <t>PFC ATKINSON, PRESCOTT</t>
  </si>
  <si>
    <t>PFC WALL, JOSEPH</t>
  </si>
  <si>
    <t>PFC AVALOS, JACOB</t>
  </si>
  <si>
    <t>SPC THOMPSON, JOSEPH</t>
  </si>
  <si>
    <t>873916</t>
  </si>
  <si>
    <t>SPC PAYNE, ERRIN</t>
  </si>
  <si>
    <t>SGT ALLEN, AUSTIN</t>
  </si>
  <si>
    <t>704028</t>
  </si>
  <si>
    <t>SGT BATISTO, ANGELITO</t>
  </si>
  <si>
    <t>SPC LITTLE, TERRANCE</t>
  </si>
  <si>
    <t>SGT SIMPSON, JACOB</t>
  </si>
  <si>
    <t>703997</t>
  </si>
  <si>
    <t>PFC GIMNICH, AUSTIN</t>
  </si>
  <si>
    <t>PFC MOORE, EAMON</t>
  </si>
  <si>
    <t>PV2 CASSELL, JEREMY</t>
  </si>
  <si>
    <t>SGT POWELL, CHRISTIAN</t>
  </si>
  <si>
    <t>SGT BRADY, CHRISTOPHER</t>
  </si>
  <si>
    <t>704054</t>
  </si>
  <si>
    <t>PFC MCCORMICK, LOGAN</t>
  </si>
  <si>
    <t>SSG VELASQUEZ, GERARDO</t>
  </si>
  <si>
    <t>SPC DALEY, NICKLAUS</t>
  </si>
  <si>
    <t>PV2 CHURCHMAN, CASON</t>
  </si>
  <si>
    <t>SPC PARRY, JAMES</t>
  </si>
  <si>
    <t>439037</t>
  </si>
  <si>
    <t>SPC TROSCH, GARRET</t>
  </si>
  <si>
    <t>SFC JIMENEZ, CHRISTOPHER</t>
  </si>
  <si>
    <t>1LT ZENGER, ERIC</t>
  </si>
  <si>
    <t>CPT MATTHEWS, DAVID</t>
  </si>
  <si>
    <t>SPC CONDON, PATRICK</t>
  </si>
  <si>
    <t>SGT MCJIMSON, GENERAL</t>
  </si>
  <si>
    <t>PFC SMITHERS, MICHAEL</t>
  </si>
  <si>
    <t>PFC ROBERTS, ROMARIO</t>
  </si>
  <si>
    <t>CPT KAICHER, JONATHAN</t>
  </si>
  <si>
    <t>PFC DOYLE, TRISTON</t>
  </si>
  <si>
    <t>SFC MARSH, WILLIAM</t>
  </si>
  <si>
    <t>CPT LAWSON, WILLIAM</t>
  </si>
  <si>
    <t>PFC HUGHES, HANNA</t>
  </si>
  <si>
    <t>395413</t>
  </si>
  <si>
    <t>PFC SHELTON, NICHOLAS</t>
  </si>
  <si>
    <t>2LT MOUGHAN, SEAN</t>
  </si>
  <si>
    <t>SGT DAVIS, DENZEL</t>
  </si>
  <si>
    <t>1LT CICO, LORENZO</t>
  </si>
  <si>
    <t>LTC HALLOWS, CHRISTOPHER</t>
  </si>
  <si>
    <t>CSM HUYNH, THINH</t>
  </si>
  <si>
    <t>MAJ AMMONS, BARRY</t>
  </si>
  <si>
    <t>MAJ ROBINSON, ANDREW</t>
  </si>
  <si>
    <t>SGM MENDEZ, JOEY</t>
  </si>
  <si>
    <t>SGT FRITTS, JOSHUA</t>
  </si>
  <si>
    <t>1LT BAUMEISTER, JACOB</t>
  </si>
  <si>
    <t>CPT BUECHELE, JAMES</t>
  </si>
  <si>
    <t>SPC BOGER, SEAN</t>
  </si>
  <si>
    <t>SSG MEROLA, ZACHARY</t>
  </si>
  <si>
    <t>SGT MAIER, RYAN</t>
  </si>
  <si>
    <t>SSG MAYS, HS</t>
  </si>
  <si>
    <t>2LT SWISTARA, RICHARD</t>
  </si>
  <si>
    <t>1LT SELIG, CHRISTOPHER</t>
  </si>
  <si>
    <t>439433</t>
  </si>
  <si>
    <t>1LT RODINO, ALEXANDER</t>
  </si>
  <si>
    <t>1LT RODRIGUEZ, JAVIER</t>
  </si>
  <si>
    <t>1LT DATER, JACOB</t>
  </si>
  <si>
    <t>SSG DAVIS, MATTHEW</t>
  </si>
  <si>
    <t>SSG GAUSE, EMMETT</t>
  </si>
  <si>
    <t>PFC GALLIK, CHRISTOPHER</t>
  </si>
  <si>
    <t>PFC JACKSON, MARQUISE</t>
  </si>
  <si>
    <t>SGT SMITH, DANTE</t>
  </si>
  <si>
    <t>PFC COASEY, DEMETRIS</t>
  </si>
  <si>
    <t>CPT SCOTT, HANNAH</t>
  </si>
  <si>
    <t>PV2 ANTHONY, PHIL</t>
  </si>
  <si>
    <t>SPC JENKINS, DARYNE</t>
  </si>
  <si>
    <t>1LT FINN, JACOB</t>
  </si>
  <si>
    <t>SPC KIM, MARK</t>
  </si>
  <si>
    <t>PFC DELAUDER, KARYN</t>
  </si>
  <si>
    <t>SGT KOOKEN, CHRISTOPHER</t>
  </si>
  <si>
    <t>PFC GOSEWICH, JAKE</t>
  </si>
  <si>
    <t>SPC MATTHEWS JONATHAN</t>
  </si>
  <si>
    <t>SGT SLOAN, CORY</t>
  </si>
  <si>
    <t>SPC DEAL MATTHEW</t>
  </si>
  <si>
    <t>SGT DONNELLY, DYLAN</t>
  </si>
  <si>
    <t>PFC BUTTS ZACKERY</t>
  </si>
  <si>
    <t>PV2 COLON, JUAN</t>
  </si>
  <si>
    <t>SGT KREISH, DUSTIN</t>
  </si>
  <si>
    <t>SPC PETTIT ALEXANDER</t>
  </si>
  <si>
    <t>SGT SUAREZ, PHILIP</t>
  </si>
  <si>
    <t>SSG WOODS, DAVID</t>
  </si>
  <si>
    <t>SGT TALBERT CAMERON</t>
  </si>
  <si>
    <t>SGT STEWART, MICHAEL</t>
  </si>
  <si>
    <t>SGT BOLGIANO, CHRISTOPHER</t>
  </si>
  <si>
    <t>SSG ALICEAPEREZ, LUIS</t>
  </si>
  <si>
    <t>CPT MCGINNIS, THOMAS</t>
  </si>
  <si>
    <t>SGT CALLOW, THOMAS</t>
  </si>
  <si>
    <t>PV2 MANN, JOHN</t>
  </si>
  <si>
    <t>PV2 KESSEL, SPENCER</t>
  </si>
  <si>
    <t>PVT FLORES, ELVIS</t>
  </si>
  <si>
    <t>PV2 SETTLE, ANTHONY</t>
  </si>
  <si>
    <t>1LT OLSEN, PETER</t>
  </si>
  <si>
    <t>SSG CHANNEL, WILLIAM</t>
  </si>
  <si>
    <t>00014688</t>
  </si>
  <si>
    <t>SSG QUINTANILLA, MARILYNN</t>
  </si>
  <si>
    <t>CPT EDSON, JUSTIN</t>
  </si>
  <si>
    <t>SGT ARMSTRONG, JAMES</t>
  </si>
  <si>
    <t>SFC ANDERSON, DAVID</t>
  </si>
  <si>
    <t>2LT ARMEL, ISAAC</t>
  </si>
  <si>
    <t>1LT HOUSTON, JORDAN</t>
  </si>
  <si>
    <t>LTC MILES, ETHAN</t>
  </si>
  <si>
    <t>SPC BROWNDEHNER JASON</t>
  </si>
  <si>
    <t>SPC CARROLL HUNTER</t>
  </si>
  <si>
    <t>PFC HORVATH JONATHAN</t>
  </si>
  <si>
    <t>SPC JOB KEVIN</t>
  </si>
  <si>
    <t>SPC LANE RYAN</t>
  </si>
  <si>
    <t>SGT MCFALL ZACHARIAH</t>
  </si>
  <si>
    <t>SPC MCGEE CHASE</t>
  </si>
  <si>
    <t>SGT OCCHIPINTI PIERCE</t>
  </si>
  <si>
    <t>PFC SKINNER NATHAN</t>
  </si>
  <si>
    <t>PFC WRIGHT JACOB</t>
  </si>
  <si>
    <t>RHINO MOUNTS NEEDED</t>
  </si>
  <si>
    <t>REMAINING</t>
  </si>
  <si>
    <t>TOTAL</t>
  </si>
  <si>
    <t>GENERIC NOMENCLATURE</t>
  </si>
  <si>
    <t>LIN</t>
  </si>
  <si>
    <t>SUB</t>
  </si>
  <si>
    <t>NSN NOMENCLATURE</t>
  </si>
  <si>
    <t>WHAT JOE CALLS IT</t>
  </si>
  <si>
    <t>NSN</t>
  </si>
  <si>
    <t>COST</t>
  </si>
  <si>
    <t>OH</t>
  </si>
  <si>
    <t>[PFED]</t>
  </si>
  <si>
    <t>C05011</t>
  </si>
  <si>
    <t>COMPUTER SYSTEM, DIG</t>
  </si>
  <si>
    <t>PFED</t>
  </si>
  <si>
    <t>7010015389663</t>
  </si>
  <si>
    <t xml:space="preserve">AIMING CIRCLE </t>
  </si>
  <si>
    <t>A22496</t>
  </si>
  <si>
    <t>AIMING CIRCLE M2A2</t>
  </si>
  <si>
    <t>M2A2</t>
  </si>
  <si>
    <t>6675010670687</t>
  </si>
  <si>
    <t>BATTLEFIELD ANTI-INTRUSION SYS: AN/PRS-9</t>
  </si>
  <si>
    <t>B57077</t>
  </si>
  <si>
    <t>BATTLEFIELD ANTI-IN</t>
  </si>
  <si>
    <t>BIAS</t>
  </si>
  <si>
    <t>6350015932817</t>
  </si>
  <si>
    <t>BAYONET MULTIPUROSE SYSTEM: XM9</t>
  </si>
  <si>
    <t>B49004</t>
  </si>
  <si>
    <t>BAYONET MULTI SYS M9</t>
  </si>
  <si>
    <t>BAYONET (M9)</t>
  </si>
  <si>
    <t>1095012271739</t>
  </si>
  <si>
    <t>BINOCULAR: M24</t>
  </si>
  <si>
    <t>B67839</t>
  </si>
  <si>
    <t>BINO W/O RET M24</t>
  </si>
  <si>
    <t>M24</t>
  </si>
  <si>
    <t>1240014123128</t>
  </si>
  <si>
    <t>M24 BINOCULAR</t>
  </si>
  <si>
    <t>1240014993547</t>
  </si>
  <si>
    <t>BINOCULAR: M25</t>
  </si>
  <si>
    <t>B67907</t>
  </si>
  <si>
    <t>BINO M25</t>
  </si>
  <si>
    <t>M25</t>
  </si>
  <si>
    <t>1240014107418</t>
  </si>
  <si>
    <t>BOINO: MOD CONSTR. MIL SCALE RET 7X50</t>
  </si>
  <si>
    <t>B67766</t>
  </si>
  <si>
    <t>BINO MOD CON M22</t>
  </si>
  <si>
    <t>M22</t>
  </si>
  <si>
    <t>1240012075787</t>
  </si>
  <si>
    <t>1240013611318</t>
  </si>
  <si>
    <t>BORESIGHTING EQUIP WPN: SMALL ARMS M30</t>
  </si>
  <si>
    <t>B60351</t>
  </si>
  <si>
    <t>BORESIGHT EQUIP M30</t>
  </si>
  <si>
    <t>BORESIGHT</t>
  </si>
  <si>
    <t>5860013947781</t>
  </si>
  <si>
    <t>COLLIMATOR, BORESIGHT</t>
  </si>
  <si>
    <t>FA5506</t>
  </si>
  <si>
    <t>COLLIMATOR BORESIGH-(SU-93A)</t>
  </si>
  <si>
    <t>5855011096433</t>
  </si>
  <si>
    <t>SAME</t>
  </si>
  <si>
    <t>COMMAND LAUNCH UNIT: (JAVELIN)</t>
  </si>
  <si>
    <t>C60750</t>
  </si>
  <si>
    <t>COMMAND LAUNCH UNIT</t>
  </si>
  <si>
    <t>CLU</t>
  </si>
  <si>
    <t>1430015328900</t>
  </si>
  <si>
    <t>COMPUTER SET BALLISTICS: MORTAR M23</t>
  </si>
  <si>
    <t>C60294</t>
  </si>
  <si>
    <t>COMPUTER SET BALLIS</t>
  </si>
  <si>
    <t>M23</t>
  </si>
  <si>
    <t>1220011196049</t>
  </si>
  <si>
    <t>COMPUTER SYSTEM DIGITAL: AN/PSG-10 (V)</t>
  </si>
  <si>
    <t>7010014919156</t>
  </si>
  <si>
    <t>COMPUTER, PERSONAL WORKSTATION</t>
  </si>
  <si>
    <t>70209N</t>
  </si>
  <si>
    <t>COMPUTER, DIGITAL -(LHMBC, M32)</t>
  </si>
  <si>
    <t>LHMBC</t>
  </si>
  <si>
    <t>7021015553403</t>
  </si>
  <si>
    <t>COMTER SYS DIG: AN/PSG-14(V)1 LFED</t>
  </si>
  <si>
    <t>C04819</t>
  </si>
  <si>
    <t>COPTR SY DIG: AN/PSG</t>
  </si>
  <si>
    <t>LFED</t>
  </si>
  <si>
    <t>7010015608481</t>
  </si>
  <si>
    <t>CONVERSION KIT</t>
  </si>
  <si>
    <t>ZA0507</t>
  </si>
  <si>
    <t>CONVERSION KIT: 5305655 GENERAL DYNAMICS</t>
  </si>
  <si>
    <t>100501C055967</t>
  </si>
  <si>
    <t/>
  </si>
  <si>
    <t/>
  </si>
  <si>
    <t>1005991322615</t>
  </si>
  <si>
    <t>DEMOLITION SET EXPLOSIVE: INIATING …</t>
  </si>
  <si>
    <t>F91490</t>
  </si>
  <si>
    <t>DEMO SET EXPLO ELEC</t>
  </si>
  <si>
    <t>DEMO</t>
  </si>
  <si>
    <t>1375000473750</t>
  </si>
  <si>
    <t>ELECTRONIC TEST SET SET: TS-4348/UV</t>
  </si>
  <si>
    <t>E03826</t>
  </si>
  <si>
    <t>TEST SET TS-4348/UV</t>
  </si>
  <si>
    <t>TEST SET</t>
  </si>
  <si>
    <t>6625013239584</t>
  </si>
  <si>
    <t>FLASHLIGHT</t>
  </si>
  <si>
    <t>FE3077</t>
  </si>
  <si>
    <t>FLASHLIGHT: WPN MT M952 KIT01 SUREFIRE</t>
  </si>
  <si>
    <t>TAC-LIGHT</t>
  </si>
  <si>
    <t>623001F003915</t>
  </si>
  <si>
    <t/>
  </si>
  <si>
    <t>ZA9568</t>
  </si>
  <si>
    <t>94117N</t>
  </si>
  <si>
    <t>HOLSTER, PISTOL [ACU]</t>
  </si>
  <si>
    <t>ACU HOLSTER</t>
  </si>
  <si>
    <t>1095015411514</t>
  </si>
  <si>
    <t>HVY. WPN. THERMAL SIGHT: AN/PAS-13(V)3</t>
  </si>
  <si>
    <t>S90603</t>
  </si>
  <si>
    <t>SI THE AN/PAS-13B(V)3</t>
  </si>
  <si>
    <t>5855014643151</t>
  </si>
  <si>
    <t/>
  </si>
  <si>
    <t>SI THE AN/PAS-13C(V)3</t>
  </si>
  <si>
    <t>5855015237715</t>
  </si>
  <si>
    <t/>
  </si>
  <si>
    <t>SI THE AN/PAS-13D(V)3</t>
  </si>
  <si>
    <t>5855015244314</t>
  </si>
  <si>
    <t>ILLUMIN. INTEGRATED: S. ARMS STORM MLRF</t>
  </si>
  <si>
    <t>J68653</t>
  </si>
  <si>
    <t>ILL INT SMALL ARM MLRF</t>
  </si>
  <si>
    <t>5855015351905</t>
  </si>
  <si>
    <t>ILLUMINATOR INTEGRATED: SM. ARMS STORM MLRF</t>
  </si>
  <si>
    <t>ILLUMINATOR INTEGRATE</t>
  </si>
  <si>
    <t>5855015775946</t>
  </si>
  <si>
    <t xml:space="preserve">ILLUMINATOR, INFRARED </t>
  </si>
  <si>
    <t>FA5554</t>
  </si>
  <si>
    <t>ILLUMINATOR: D424-100 IZLID</t>
  </si>
  <si>
    <t>IZLID</t>
  </si>
  <si>
    <t>585501C057659</t>
  </si>
  <si>
    <t/>
  </si>
  <si>
    <t>ILLUMINATOR, INFRARED-(M646)</t>
  </si>
  <si>
    <t>RAPTOR</t>
  </si>
  <si>
    <t>5855014652170</t>
  </si>
  <si>
    <t/>
  </si>
  <si>
    <t>JO3261</t>
  </si>
  <si>
    <t>ILLUMINATOR INTEGRA</t>
  </si>
  <si>
    <t>5855015356166</t>
  </si>
  <si>
    <t/>
  </si>
  <si>
    <t>ILLUMIN INFRARED</t>
  </si>
  <si>
    <t>5855015345931</t>
  </si>
  <si>
    <t>INTERFACE UNIT COMM EQPMT</t>
  </si>
  <si>
    <t>FA9527</t>
  </si>
  <si>
    <t>INTERFACE UNIT, DATA [LHMBC COMPONENT]</t>
  </si>
  <si>
    <t>LHMBC POCKET PC</t>
  </si>
  <si>
    <t>5895015216922</t>
  </si>
  <si>
    <t>LASER POINTER</t>
  </si>
  <si>
    <t>WB204V</t>
  </si>
  <si>
    <t/>
  </si>
  <si>
    <t>752001C075571</t>
  </si>
  <si>
    <t>LAUNCHER: GRENADE</t>
  </si>
  <si>
    <t>L69012</t>
  </si>
  <si>
    <t>L69080</t>
  </si>
  <si>
    <t>LAUNCHER, GRENADE [320]</t>
  </si>
  <si>
    <t>1010015572542</t>
  </si>
  <si>
    <t>LIGHT TACTICAL</t>
  </si>
  <si>
    <t>FE404E</t>
  </si>
  <si>
    <t>LIGHT TACTICAL…SUREFIRE</t>
  </si>
  <si>
    <t>624001C064018</t>
  </si>
  <si>
    <t>LIGHTING KIT: MOTION DETECTOR (LKMD) AN/GAR-2</t>
  </si>
  <si>
    <t>L02015</t>
  </si>
  <si>
    <t>LIGHTING KIT MOTION</t>
  </si>
  <si>
    <t>6210015376769</t>
  </si>
  <si>
    <t>MACH GUN GRENADE 40MM: MK19 MOD III</t>
  </si>
  <si>
    <t>M92362</t>
  </si>
  <si>
    <t>MACH GUN 40MM: MK19</t>
  </si>
  <si>
    <t>1010014909697</t>
  </si>
  <si>
    <t>MACHINE GUN: CALIBER 50</t>
  </si>
  <si>
    <t>M39331</t>
  </si>
  <si>
    <t>MACHINE GUN CALIBER</t>
  </si>
  <si>
    <t>.50cal</t>
  </si>
  <si>
    <t>1005015111250</t>
  </si>
  <si>
    <t>MED. WPN. THERMAL SIGHT: AN/PAS-13(V)2</t>
  </si>
  <si>
    <t>S90535</t>
  </si>
  <si>
    <t>SI THE AN/PAS-13B(V)2</t>
  </si>
  <si>
    <t>5855014643152</t>
  </si>
  <si>
    <t/>
  </si>
  <si>
    <t>S60356</t>
  </si>
  <si>
    <t>SI THE AN/PAS-13B(V)1</t>
  </si>
  <si>
    <t>5855014643150</t>
  </si>
  <si>
    <t>MINI EYESAFE LASER INFR OBSVR SET</t>
  </si>
  <si>
    <t>M74849</t>
  </si>
  <si>
    <t>MELIOS LASER AN/PVS-6</t>
  </si>
  <si>
    <t>MELIOS</t>
  </si>
  <si>
    <t>5860013508551</t>
  </si>
  <si>
    <t>MINIATURE THERMAL SCOPE ASSY</t>
  </si>
  <si>
    <t>FA5547</t>
  </si>
  <si>
    <t>VIEWER, INFRARED</t>
  </si>
  <si>
    <t>MINI THERMAL</t>
  </si>
  <si>
    <t>5855015387994</t>
  </si>
  <si>
    <t>MONOCULAR NIGHT VISION DEVICE AN/PVS-14</t>
  </si>
  <si>
    <t>M79678</t>
  </si>
  <si>
    <t>MONO NI VIS AN/PVS-14</t>
  </si>
  <si>
    <t>5855014320524</t>
  </si>
  <si>
    <t>MORTAR 120 MM</t>
  </si>
  <si>
    <t>M68405</t>
  </si>
  <si>
    <t>MORTAR 120 MM TOWED</t>
  </si>
  <si>
    <t>1015012261672</t>
  </si>
  <si>
    <t>MORTAR 81 MM M252</t>
  </si>
  <si>
    <t>M02114</t>
  </si>
  <si>
    <t>MORTAR 81MM SYS</t>
  </si>
  <si>
    <t>81mm</t>
  </si>
  <si>
    <t>1015011646651</t>
  </si>
  <si>
    <t>MORTAR:120 MM TOWED</t>
  </si>
  <si>
    <t>M68326</t>
  </si>
  <si>
    <t>120mm</t>
  </si>
  <si>
    <t>MOUNT MACHINE GUN: 40MM MK93</t>
  </si>
  <si>
    <t>M12647</t>
  </si>
  <si>
    <t>MT MAC GUN 40MM MK 93</t>
  </si>
  <si>
    <t>1010013832757</t>
  </si>
  <si>
    <t>MT MG 40MM MK93 MOD2</t>
  </si>
  <si>
    <t>1010015027547</t>
  </si>
  <si>
    <t/>
  </si>
  <si>
    <t>M74823</t>
  </si>
  <si>
    <t>MT MAC GUN 40MM MK93</t>
  </si>
  <si>
    <t>MOUNT TRI. MACHINE GUN: HEAVY CALIBER 50</t>
  </si>
  <si>
    <t>M75577</t>
  </si>
  <si>
    <t>MT TPD MG CAL .50 M3</t>
  </si>
  <si>
    <t>1005003229716</t>
  </si>
  <si>
    <t>MOUNT TRIPOD MAC GUN 7.62MM</t>
  </si>
  <si>
    <t>M60256</t>
  </si>
  <si>
    <t>MT MACH GUN M192</t>
  </si>
  <si>
    <t>1005015030141</t>
  </si>
  <si>
    <t>MOUNT TRIPOD MACHINEGUN: M122A1</t>
  </si>
  <si>
    <t>M75964</t>
  </si>
  <si>
    <t>MTTPD MG M122A1</t>
  </si>
  <si>
    <t>1005014331617</t>
  </si>
  <si>
    <t>MOUNT: MACHINE GUN M197</t>
  </si>
  <si>
    <t>M11071</t>
  </si>
  <si>
    <t>MT MACH GUN M197</t>
  </si>
  <si>
    <t>1005014134098</t>
  </si>
  <si>
    <t>N/PVS-30</t>
  </si>
  <si>
    <t>LO5003</t>
  </si>
  <si>
    <t xml:space="preserve">TARGET LOCATOR MODU </t>
  </si>
  <si>
    <t>1240015628084</t>
  </si>
  <si>
    <t>NAV. SET SAT. SIGNAL AN/PSN-13</t>
  </si>
  <si>
    <t>N96248</t>
  </si>
  <si>
    <t>NAV SET SAT AN/PSN-13</t>
  </si>
  <si>
    <t>5825015168038</t>
  </si>
  <si>
    <t>NAV SET SAT AN/PSN-13(A)</t>
  </si>
  <si>
    <t>5825015264783</t>
  </si>
  <si>
    <t>NIGHT VISION DEVIC: AN/PSQ-20</t>
  </si>
  <si>
    <t>N07848</t>
  </si>
  <si>
    <t>NIGHT VISION DEVICE</t>
  </si>
  <si>
    <t>5855015346449</t>
  </si>
  <si>
    <t>NIGHT VISION GOGGLE: AN/PVS-7B</t>
  </si>
  <si>
    <t>N05482</t>
  </si>
  <si>
    <t>NIGHT VIS G AN/PVS-7B</t>
  </si>
  <si>
    <t>PVS-7B</t>
  </si>
  <si>
    <t>5855012280937</t>
  </si>
  <si>
    <t/>
  </si>
  <si>
    <t>NIGHT VIS AN/PVS-7D</t>
  </si>
  <si>
    <t>5855014225413</t>
  </si>
  <si>
    <t/>
  </si>
  <si>
    <t>PISTOL &amp; REVOLVER, AMERICAN NON-STANDARD WPN</t>
  </si>
  <si>
    <t>ZA0502</t>
  </si>
  <si>
    <t>PISTOL, CALIBER .45</t>
  </si>
  <si>
    <t>1005007265655</t>
  </si>
  <si>
    <t>PISTOL 9MM AUTOMATIC: M9</t>
  </si>
  <si>
    <t>P98152</t>
  </si>
  <si>
    <t>PISTOL 9MM AUTOMATIC</t>
  </si>
  <si>
    <t>1005011182640</t>
  </si>
  <si>
    <t>RAIL KIT</t>
  </si>
  <si>
    <t>ZA0592</t>
  </si>
  <si>
    <t>ADAPTER RAIL, WPN</t>
  </si>
  <si>
    <t>1005014523527</t>
  </si>
  <si>
    <t>RANGE FINDER-TARGET DESIGNATOR: LASER AN/PED-1</t>
  </si>
  <si>
    <t>R60282</t>
  </si>
  <si>
    <t>RAN FI TA DL AN/PED-1</t>
  </si>
  <si>
    <t>1240014551791</t>
  </si>
  <si>
    <t>RIFLE 5.56 MM: M16A2</t>
  </si>
  <si>
    <t>R95035</t>
  </si>
  <si>
    <t>RIFLE 5.56MM M16A2</t>
  </si>
  <si>
    <t>M16</t>
  </si>
  <si>
    <t>1005011289936</t>
  </si>
  <si>
    <t>RIFLE 5.56 MM: M4</t>
  </si>
  <si>
    <t>R97234</t>
  </si>
  <si>
    <t>1005012310973</t>
  </si>
  <si>
    <t>RIFLE SNIPER .50 CALIBER: M107</t>
  </si>
  <si>
    <t>R45351</t>
  </si>
  <si>
    <t>RIFLE SNIPER M107</t>
  </si>
  <si>
    <t>1005014692133</t>
  </si>
  <si>
    <t/>
  </si>
  <si>
    <t>ZA0513</t>
  </si>
  <si>
    <t>RIFLE SNIPER [XM2010]</t>
  </si>
  <si>
    <t>XM2010</t>
  </si>
  <si>
    <t>1005015882913</t>
  </si>
  <si>
    <t>?</t>
  </si>
  <si>
    <t>RIFLE SNIPER: M110</t>
  </si>
  <si>
    <t>R45601</t>
  </si>
  <si>
    <t>RIFLE SNIPER M110</t>
  </si>
  <si>
    <t>1005015342841</t>
  </si>
  <si>
    <t>RIFLE, 7.62 MM</t>
  </si>
  <si>
    <t>ZA0517</t>
  </si>
  <si>
    <t>RIFLE, 7.62 MM: M14 EBR-RI TACOM-RI</t>
  </si>
  <si>
    <t>EBR</t>
  </si>
  <si>
    <t>100501D170487</t>
  </si>
  <si>
    <t>SHIPPING/FREIGHT CONTAINERS</t>
  </si>
  <si>
    <t>WE5000</t>
  </si>
  <si>
    <t>TRICON, FREIGHT, GENE</t>
  </si>
  <si>
    <t>8150015272506</t>
  </si>
  <si>
    <t>SHOTGUN , 12 GAGE</t>
  </si>
  <si>
    <t>ZA0536</t>
  </si>
  <si>
    <t>SHOTGUN, 12 GAGE: M4 BENELLI</t>
  </si>
  <si>
    <t>100501D170432</t>
  </si>
  <si>
    <t>SHOTGUN 12 GAUGE RIOT TYPE: 20 IN. BARREL</t>
  </si>
  <si>
    <t>T39223</t>
  </si>
  <si>
    <t>SHOTGUN 12GAGE M500</t>
  </si>
  <si>
    <t>1005012951832</t>
  </si>
  <si>
    <t/>
  </si>
  <si>
    <t>T45593</t>
  </si>
  <si>
    <t>SIGHT BORE OPT M45A1</t>
  </si>
  <si>
    <t>1240001523512</t>
  </si>
  <si>
    <t xml:space="preserve">SIGHT BORE OPTICAL: M150 </t>
  </si>
  <si>
    <t>S45729</t>
  </si>
  <si>
    <t>SIGHT BORE OPT M150 [ACOG]</t>
  </si>
  <si>
    <t>1240015571897</t>
  </si>
  <si>
    <t/>
  </si>
  <si>
    <t>ZA1094</t>
  </si>
  <si>
    <t>SIGHT, GRENADE LAUNC-(AN/PSQ-18A(M203))</t>
  </si>
  <si>
    <t>1010015160953</t>
  </si>
  <si>
    <t>SIGHT NIGHT VISION (SNS): AN/PVS-30</t>
  </si>
  <si>
    <t>S60342</t>
  </si>
  <si>
    <t>FA5573</t>
  </si>
  <si>
    <t>SIGHT, NIGHT VISIONS-(AN/PVS-26)</t>
  </si>
  <si>
    <t>5855015388121</t>
  </si>
  <si>
    <t>SIGHT NIGHT VISION: AN/PVS-30 [XM2010 BII]</t>
  </si>
  <si>
    <t>SIGHT NI VI AN/PVS-10</t>
  </si>
  <si>
    <t>5855015679243</t>
  </si>
  <si>
    <t>SIGHT, HOLOGRAPHIC</t>
  </si>
  <si>
    <t>GA405T</t>
  </si>
  <si>
    <t>SIGHT, HOLOGRAPHIC-(EOTECH 552.)</t>
  </si>
  <si>
    <t>1240014925264</t>
  </si>
  <si>
    <t>SIGHT: NIGHT VISION SNIPERSCOPE AN/PVS-10</t>
  </si>
  <si>
    <t>S90433</t>
  </si>
  <si>
    <t>5855014108979</t>
  </si>
  <si>
    <t>7+</t>
  </si>
  <si>
    <t>SIGHT: REFLEX COLLIMATOR</t>
  </si>
  <si>
    <t>S60288</t>
  </si>
  <si>
    <t xml:space="preserve">SIGHT REFLEX </t>
  </si>
  <si>
    <t>1240015403690</t>
  </si>
  <si>
    <t>3+</t>
  </si>
  <si>
    <t>SIGHT REFLEX COLLIM</t>
  </si>
  <si>
    <t>1240014111265</t>
  </si>
  <si>
    <t>SIGHT REFLEX COLLIMA</t>
  </si>
  <si>
    <t>1240015766134</t>
  </si>
  <si>
    <t>2+</t>
  </si>
  <si>
    <t/>
  </si>
  <si>
    <t>SIGHT: THERMAL AN/PAS-13B(V)1</t>
  </si>
  <si>
    <t>NO4732</t>
  </si>
  <si>
    <t>NI VI AN/PVS-4 W/IMG</t>
  </si>
  <si>
    <t>5855006295334</t>
  </si>
  <si>
    <t>SI THE AN/PAS-13D(V)1</t>
  </si>
  <si>
    <t>5855015244308</t>
  </si>
  <si>
    <t>SM. UNMAND. AIRCRAFT SYS.: RAVEN B</t>
  </si>
  <si>
    <t>S83835</t>
  </si>
  <si>
    <t>DRONE AIRCRAFT</t>
  </si>
  <si>
    <t>1550015389256</t>
  </si>
  <si>
    <t>SPOTTING INSTRUMENT: OPTICAL</t>
  </si>
  <si>
    <t>S08669</t>
  </si>
  <si>
    <t>SPOTTING INSTRMNT OPT</t>
  </si>
  <si>
    <t>6650015495838</t>
  </si>
  <si>
    <t/>
  </si>
  <si>
    <t>GA404J</t>
  </si>
  <si>
    <t>TARGET LOCATOR MODU-(AN/PSD-1A) [LLDR ACU]</t>
  </si>
  <si>
    <t>LLDR</t>
  </si>
  <si>
    <t>1240015965050</t>
  </si>
  <si>
    <t/>
  </si>
  <si>
    <t>T60185</t>
  </si>
  <si>
    <t>TELESCOPE M145</t>
  </si>
  <si>
    <t>1240014116350</t>
  </si>
  <si>
    <t>TELESCOPE: STRAIGHT M144</t>
  </si>
  <si>
    <t>T60253</t>
  </si>
  <si>
    <t>TELESCOP STRAIG M144</t>
  </si>
  <si>
    <t>1240013862771</t>
  </si>
  <si>
    <t>TOOL KIT SMALL ARMS</t>
  </si>
  <si>
    <t>MC802Z</t>
  </si>
  <si>
    <t>TOOL KIT, REPAIRMAN</t>
  </si>
  <si>
    <t>5180003577770</t>
  </si>
  <si>
    <t>TRANSMITTER LASER</t>
  </si>
  <si>
    <t>GA658C</t>
  </si>
  <si>
    <t>TRANSMITTER, LASER-(523P-M)</t>
  </si>
  <si>
    <t>1265015585814</t>
  </si>
  <si>
    <t>UNATTENDED GROUND SENSOR SYSTEM</t>
  </si>
  <si>
    <t>FA102R</t>
  </si>
  <si>
    <t>UNATTENDED GROUND SENSOR SYSTEM: E-UGS</t>
  </si>
  <si>
    <t>EUGS</t>
  </si>
  <si>
    <t>581001C144926</t>
  </si>
  <si>
    <t>TOTAL:</t>
  </si>
  <si>
    <t>NON AA&amp;E</t>
  </si>
  <si>
    <t>ITEM</t>
  </si>
  <si>
    <t>DESCRIPTION</t>
  </si>
  <si>
    <t>HAND RECEIPT</t>
  </si>
  <si>
    <t>UL</t>
  </si>
  <si>
    <t>SII</t>
  </si>
  <si>
    <t>PB</t>
  </si>
  <si>
    <t>QTY</t>
  </si>
  <si>
    <t>$$ea</t>
  </si>
  <si>
    <t>total</t>
  </si>
  <si>
    <t>M3 TRIPOD</t>
  </si>
  <si>
    <t>.50 CAL/MK19 TRIPOD</t>
  </si>
  <si>
    <t>6,7</t>
  </si>
  <si>
    <t>BUSHNELL ELITE 1500</t>
  </si>
  <si>
    <t>320 RANGE FINDER</t>
  </si>
  <si>
    <t>M320A1 BII</t>
  </si>
  <si>
    <t>NA</t>
  </si>
  <si>
    <t>N/A</t>
  </si>
  <si>
    <t>DAGRS (V1)</t>
  </si>
  <si>
    <t>GPS</t>
  </si>
  <si>
    <t>P.9</t>
  </si>
  <si>
    <t>P.13</t>
  </si>
  <si>
    <t>DAGRS (V2)</t>
  </si>
  <si>
    <t>NAVIGATION SET, SATE</t>
  </si>
  <si>
    <t>P.14</t>
  </si>
  <si>
    <t>DATA INTERFACE (LHMBC)</t>
  </si>
  <si>
    <t>INTERFACE UNIT</t>
  </si>
  <si>
    <t>INTERFACE UNIT, DATA</t>
  </si>
  <si>
    <t>P.3</t>
  </si>
  <si>
    <t>DEMO SET</t>
  </si>
  <si>
    <t>DEMO SET: EXPLOSIVE</t>
  </si>
  <si>
    <t>P.2</t>
  </si>
  <si>
    <t>GPA-1</t>
  </si>
  <si>
    <t>LASER POINTER: 736-GCP-1A NVEC</t>
  </si>
  <si>
    <t>P.17</t>
  </si>
  <si>
    <t>LATITUDE | D630</t>
  </si>
  <si>
    <t>ARMS ROOM LAPTOP</t>
  </si>
  <si>
    <t>FLASHLIGHT: TACTICAL</t>
  </si>
  <si>
    <t>FLASHLIGHT: WEAPONS MOUNTED M952 KIT01 SUREFIRE</t>
  </si>
  <si>
    <t>LIGHT TACTICAL: 0BJZ8M951XM07 SUREFIRE</t>
  </si>
  <si>
    <t>249 TRIPOD</t>
  </si>
  <si>
    <t>TRIPOD: 249</t>
  </si>
  <si>
    <t>MT TPD MG M122A1</t>
  </si>
  <si>
    <t>COMPUTER (MTR)</t>
  </si>
  <si>
    <t>249/240 TRIPOD</t>
  </si>
  <si>
    <t>TRIPOD: 249/240</t>
  </si>
  <si>
    <t>BINOCULAR</t>
  </si>
  <si>
    <t>BINOCULAR M25</t>
  </si>
  <si>
    <t>WPN MOUNTED SIGHT</t>
  </si>
  <si>
    <t>SIGHT BORE OPT M150</t>
  </si>
  <si>
    <t>14, 15</t>
  </si>
  <si>
    <t>23,24</t>
  </si>
  <si>
    <t>29,30</t>
  </si>
  <si>
    <t>PAS-13A (V2)</t>
  </si>
  <si>
    <t>**********PAS-13B V2**********</t>
  </si>
  <si>
    <t>SI THE AN/PAS-13A (V) 2</t>
  </si>
  <si>
    <t>P.16</t>
  </si>
  <si>
    <t>P.28</t>
  </si>
  <si>
    <t>5855014580210</t>
  </si>
  <si>
    <t>PAS-13A (V3)</t>
  </si>
  <si>
    <t>********** PAS-13B V3*********</t>
  </si>
  <si>
    <t>SI THE AN/PAS-13A (V) 3</t>
  </si>
  <si>
    <t>5855014580211</t>
  </si>
  <si>
    <t>PEQ-15 (V1)</t>
  </si>
  <si>
    <t>GRAY</t>
  </si>
  <si>
    <t>J03261</t>
  </si>
  <si>
    <t>P.5</t>
  </si>
  <si>
    <t>PNEGL</t>
  </si>
  <si>
    <t>320 LASER DESIGNATOR</t>
  </si>
  <si>
    <t>PSG-10V (PFED)</t>
  </si>
  <si>
    <t>COMPUTER SYSTEM</t>
  </si>
  <si>
    <t>Z00058</t>
  </si>
  <si>
    <t>COMPUTER SYSTEM, DIG- (AN/PSG-10V)</t>
  </si>
  <si>
    <t>PSG-11 (V1)</t>
  </si>
  <si>
    <t>COMPUTER SYSTEM (FST)</t>
  </si>
  <si>
    <t>D10788</t>
  </si>
  <si>
    <t>COM SY AN/PSG-11 (V) 1</t>
  </si>
  <si>
    <t>7010014919157</t>
  </si>
  <si>
    <t>PSQ-18A</t>
  </si>
  <si>
    <t>M203 SIGHT</t>
  </si>
  <si>
    <t>SIGHT, GRENADE LAUNC- (AN/PSQ-18A (M203) )</t>
  </si>
  <si>
    <t>P.19</t>
  </si>
  <si>
    <t>P.34</t>
  </si>
  <si>
    <t>QUADCON</t>
  </si>
  <si>
    <t>CONNEX</t>
  </si>
  <si>
    <t>WE1501</t>
  </si>
  <si>
    <t>BOX SHIPPING QUADCON</t>
  </si>
  <si>
    <t>8115014747089</t>
  </si>
  <si>
    <t>SU-93A</t>
  </si>
  <si>
    <t>COLLIMATOR BORESIGH- (SU-93A)</t>
  </si>
  <si>
    <t>P.4</t>
  </si>
  <si>
    <t>TOOL KIT</t>
  </si>
  <si>
    <t>ARMS ROOM TOOL KIT</t>
  </si>
  <si>
    <t>TOOL KIT,REPAIRMAN'</t>
  </si>
  <si>
    <t>P.7</t>
  </si>
  <si>
    <t>JAVLIN AIMING DEVICE</t>
  </si>
  <si>
    <t>CMD LAUN UT JAV 2 BRD</t>
  </si>
  <si>
    <t>1430014338025</t>
  </si>
  <si>
    <t>ADAPTER RAIL</t>
  </si>
  <si>
    <t>RAIL SYSTEM FOR 5.56MM</t>
  </si>
  <si>
    <t>ADAPTER RAIL, WEAPON</t>
  </si>
  <si>
    <t>BALLISTIC COMPUTER</t>
  </si>
  <si>
    <t>MRT COMPUTER M23</t>
  </si>
  <si>
    <t>BAYONET</t>
  </si>
  <si>
    <t>GROUND SENSOR</t>
  </si>
  <si>
    <t>ZERO LASER</t>
  </si>
  <si>
    <t>DAGR: AN/PSN13</t>
  </si>
  <si>
    <t>GPS NAVIGATION</t>
  </si>
  <si>
    <t>9,10</t>
  </si>
  <si>
    <t>12,13</t>
  </si>
  <si>
    <t>21,22</t>
  </si>
  <si>
    <t>SIGHT, HOLOGRAPHIC-(EOTECH 552.A65)</t>
  </si>
  <si>
    <t>4,5</t>
  </si>
  <si>
    <t>GROUND VIBRATION SENSOR</t>
  </si>
  <si>
    <t>GUN MOUNT: 50c/40MM</t>
  </si>
  <si>
    <t>GUN MOUNT</t>
  </si>
  <si>
    <t>WPN MOUNTED LASER</t>
  </si>
  <si>
    <t>ILLUMINATOR, INFRARED: D424-100 IZLID B. E MEYERS</t>
  </si>
  <si>
    <t>5855014501080</t>
  </si>
  <si>
    <t>LCMR</t>
  </si>
  <si>
    <t>RADAR SET</t>
  </si>
  <si>
    <t>FA4004</t>
  </si>
  <si>
    <t>RADAR SET-(AN/TPQ-48 (V) 2)</t>
  </si>
  <si>
    <t>5840015418783</t>
  </si>
  <si>
    <t>FST COMPUTER</t>
  </si>
  <si>
    <t>COPTR SY DIG: AN/PSG-</t>
  </si>
  <si>
    <t>1,2</t>
  </si>
  <si>
    <t>MRT COMPUTER</t>
  </si>
  <si>
    <t>INTERFACE UNIT COMM EQPT</t>
  </si>
  <si>
    <t>COMPUTER, DIGITAL-(LHMBC, M32)</t>
  </si>
  <si>
    <t>LASER DESIGNATOR RANGE</t>
  </si>
  <si>
    <t>GA404T</t>
  </si>
  <si>
    <t>TARGET LOCATOR MODULE: A20022000-9 NORTHROP GRU</t>
  </si>
  <si>
    <t>3,4</t>
  </si>
  <si>
    <t>124001C159655</t>
  </si>
  <si>
    <t>LLDR TRIPOD</t>
  </si>
  <si>
    <t>GA603Z</t>
  </si>
  <si>
    <t>TRIPOD: LASER DESIGNATOR MODULE: 20022200-19 NG</t>
  </si>
  <si>
    <t>126001C159971</t>
  </si>
  <si>
    <t>SCOPE</t>
  </si>
  <si>
    <t>SPOTTING INSTRUMENT: OPT</t>
  </si>
  <si>
    <t>M144</t>
  </si>
  <si>
    <t>SPOTTING SCOPE</t>
  </si>
  <si>
    <t>BINOCULAR MOD CON M22</t>
  </si>
  <si>
    <t>M24 W/O RET</t>
  </si>
  <si>
    <t>BINOCULAR W/O RET M24</t>
  </si>
  <si>
    <t>M249 SIMBOLT</t>
  </si>
  <si>
    <t>SIMULATION BOLT (SHORT)</t>
  </si>
  <si>
    <t>RB0546</t>
  </si>
  <si>
    <t>M249 CONVERSION KIT: FTP SNC TECHNOLOGIES</t>
  </si>
  <si>
    <t>130501C018843</t>
  </si>
  <si>
    <t>MRT AIMING CIRCLE</t>
  </si>
  <si>
    <t>M30</t>
  </si>
  <si>
    <t>BORESIGHT (UNIVERSAL)</t>
  </si>
  <si>
    <t>M45A1 SIGHT BORE</t>
  </si>
  <si>
    <t>MRT SIGHT</t>
  </si>
  <si>
    <t xml:space="preserve">M68 </t>
  </si>
  <si>
    <t>SIGHT REFLEX</t>
  </si>
  <si>
    <t>12,14</t>
  </si>
  <si>
    <t>21,23</t>
  </si>
  <si>
    <t>28,29</t>
  </si>
  <si>
    <t>M9 LEG HOLSTER (ACU)</t>
  </si>
  <si>
    <t>PISTOL HOLSTER</t>
  </si>
  <si>
    <t>HOLSTER, PISTOL</t>
  </si>
  <si>
    <t>MARK7E</t>
  </si>
  <si>
    <t>LASER RANGE FINDER</t>
  </si>
  <si>
    <t>Z01676</t>
  </si>
  <si>
    <t>TARGET LOCATOR MODU - (MK7)</t>
  </si>
  <si>
    <t>5,6</t>
  </si>
  <si>
    <t>MINE DETECTOR</t>
  </si>
  <si>
    <t>MINE DETECTOR, HANDHHELD</t>
  </si>
  <si>
    <t>G02341</t>
  </si>
  <si>
    <t>DETECTING SET MINE</t>
  </si>
  <si>
    <t>6665219061023</t>
  </si>
  <si>
    <t>MOTION SENSOR</t>
  </si>
  <si>
    <t>LMKD AN/GAR-2</t>
  </si>
  <si>
    <t>62100153767</t>
  </si>
  <si>
    <t>MX-2</t>
  </si>
  <si>
    <t>MINI THERMAL SIGHT</t>
  </si>
  <si>
    <t>NVG TEST SET</t>
  </si>
  <si>
    <t>NOD TEST SET</t>
  </si>
  <si>
    <t>11,12</t>
  </si>
  <si>
    <t>PAS-13B (V)2</t>
  </si>
  <si>
    <t>THERMAL SIGHT</t>
  </si>
  <si>
    <t>PAS-13B (V)3</t>
  </si>
  <si>
    <t>SI THE AN/PAS-13B (V)3</t>
  </si>
  <si>
    <t>PAS-13B(V)1</t>
  </si>
  <si>
    <t>25,26</t>
  </si>
  <si>
    <t>PAS-13C (V3)</t>
  </si>
  <si>
    <t>SI THE AN/PAS-13D (V) 3</t>
  </si>
  <si>
    <t>PAS-13D (V)1</t>
  </si>
  <si>
    <t>SI THE AN/PAS-13D (V) 1</t>
  </si>
  <si>
    <t>PAS-13D (V)3</t>
  </si>
  <si>
    <t>WPN MOUNTED LASER (GREY)</t>
  </si>
  <si>
    <t>16,17</t>
  </si>
  <si>
    <t xml:space="preserve">PEQ-15 </t>
  </si>
  <si>
    <t>WPN MOUNTED LASER (TAN)</t>
  </si>
  <si>
    <t>C13866</t>
  </si>
  <si>
    <t>PSQ-20</t>
  </si>
  <si>
    <t>NIGHT VISION MONOCULAR TAN</t>
  </si>
  <si>
    <t>PSS-14</t>
  </si>
  <si>
    <t>MINE DETECTOR, BACKPACK</t>
  </si>
  <si>
    <t>D03932</t>
  </si>
  <si>
    <t>DETECT SE M AN/PSS-14</t>
  </si>
  <si>
    <t>2,3</t>
  </si>
  <si>
    <t>666015047769</t>
  </si>
  <si>
    <t>PVS-10</t>
  </si>
  <si>
    <t>NIGHT OPTIC SNIPER SCOPE</t>
  </si>
  <si>
    <t>NIGHT VISION MONOCULAR</t>
  </si>
  <si>
    <t>8,9</t>
  </si>
  <si>
    <t>19,20</t>
  </si>
  <si>
    <t>PVS-26</t>
  </si>
  <si>
    <t>NIGHT VISION SIGHT</t>
  </si>
  <si>
    <t>SIGHT, NIGHT VISION - (AN/PVS-26)</t>
  </si>
  <si>
    <t xml:space="preserve">PVS-30 </t>
  </si>
  <si>
    <t>NIGHT VISION SIGHT (XM2010)</t>
  </si>
  <si>
    <t>SIGHT NI VI AN/PVS-30</t>
  </si>
  <si>
    <t>PVS-4</t>
  </si>
  <si>
    <t>PVS-6</t>
  </si>
  <si>
    <t>NIGHT VISION BINOCULAR</t>
  </si>
  <si>
    <t>PVS-7D</t>
  </si>
  <si>
    <t>7,8</t>
  </si>
  <si>
    <t>10,11</t>
  </si>
  <si>
    <t>20,21</t>
  </si>
  <si>
    <t>RAPTER</t>
  </si>
  <si>
    <t>SNIPER SCOPE</t>
  </si>
  <si>
    <t>ILLUMINATOR, INFRARE- (M646)</t>
  </si>
  <si>
    <t>REMOTE AIRCRAFT</t>
  </si>
  <si>
    <t>RAVEN</t>
  </si>
  <si>
    <t>15,16</t>
  </si>
  <si>
    <t>SIM BOLT</t>
  </si>
  <si>
    <t>SIMULATION BOLT (BOXED)</t>
  </si>
  <si>
    <t>KIT, CONVERSION, M16-</t>
  </si>
  <si>
    <t>1005991322616</t>
  </si>
  <si>
    <t>SIMULATION BOLT (LONG)</t>
  </si>
  <si>
    <t>CONVERSION KIT: 5305655 SIMUNITION</t>
  </si>
  <si>
    <t>SMALL ARMS RACK</t>
  </si>
  <si>
    <t>WEAPON STORAGE RACK</t>
  </si>
  <si>
    <t>R12379</t>
  </si>
  <si>
    <t>RACK STOR SMALL ARMS</t>
  </si>
  <si>
    <t>1095012362203</t>
  </si>
  <si>
    <t>STORM</t>
  </si>
  <si>
    <t>ILLUMINATOR INTEGRATED</t>
  </si>
  <si>
    <t>SMALL ARMS STORM MLRF</t>
  </si>
  <si>
    <t>AN/PSQ-23</t>
  </si>
  <si>
    <t>ILL INT SMAL ARM MLRF</t>
  </si>
  <si>
    <t>WPN MOUNTED LIGHT</t>
  </si>
  <si>
    <t>TOOL KIT,REPAIRMAN</t>
  </si>
  <si>
    <t>GREEN LASER</t>
  </si>
  <si>
    <t>TRANSMITTER, LASER-(532P-M)</t>
  </si>
  <si>
    <t>HAND RECEIPT/ANNEX NUMBER</t>
  </si>
  <si>
    <t>FROM:</t>
  </si>
  <si>
    <t>TO:</t>
  </si>
  <si>
    <t>Section:</t>
  </si>
  <si>
    <t>MAL (V2)'!B</t>
  </si>
  <si>
    <t>For use of this form, see DA PAM 710-2-1</t>
  </si>
  <si>
    <t>HHC ARMS ROOM</t>
  </si>
  <si>
    <t>NUMBER</t>
  </si>
  <si>
    <t>MAL (V2)'!H</t>
  </si>
  <si>
    <t>MAL (V2)'!I</t>
  </si>
  <si>
    <t>MAL (V2)'!G</t>
  </si>
  <si>
    <t>MAL (V2)'!E</t>
  </si>
  <si>
    <t>The proponent agency is ODCSLOG.</t>
  </si>
  <si>
    <t>ARMORER</t>
  </si>
  <si>
    <t>LAST NAME</t>
  </si>
  <si>
    <t>FIRST NAME</t>
  </si>
  <si>
    <t>FOR   ANNEX/CR   ONLY</t>
  </si>
  <si>
    <t>END ITEM STOCK NUMBER</t>
  </si>
  <si>
    <t>END ITEM DESCRIPTION</t>
  </si>
  <si>
    <t>PUBLICATION NUMBER</t>
  </si>
  <si>
    <t>PUBLICATION DATE</t>
  </si>
  <si>
    <t>QUANTITY</t>
  </si>
  <si>
    <t>STOCK NUMBER</t>
  </si>
  <si>
    <t>ITEM DESCRIPTION</t>
  </si>
  <si>
    <t>SEC</t>
  </si>
  <si>
    <t>UI</t>
  </si>
  <si>
    <t>QTY AUTH</t>
  </si>
  <si>
    <t xml:space="preserve"> g.</t>
  </si>
  <si>
    <t xml:space="preserve">* </t>
  </si>
  <si>
    <t>a.</t>
  </si>
  <si>
    <t>b.</t>
  </si>
  <si>
    <t>c.</t>
  </si>
  <si>
    <t>d.</t>
  </si>
  <si>
    <t>e.</t>
  </si>
  <si>
    <t>f.</t>
  </si>
  <si>
    <t>A</t>
  </si>
  <si>
    <t>B</t>
  </si>
  <si>
    <t>C</t>
  </si>
  <si>
    <t>D</t>
  </si>
  <si>
    <t>E</t>
  </si>
  <si>
    <t>F</t>
  </si>
  <si>
    <t>SERIAL NUMBER:</t>
  </si>
  <si>
    <t>EA.</t>
  </si>
  <si>
    <t>MAL (V2)'!J</t>
  </si>
  <si>
    <t>MAL (V2)'!K</t>
  </si>
  <si>
    <t>MAL (V2)'!L</t>
  </si>
  <si>
    <t>MAL (V2)'M</t>
  </si>
  <si>
    <t>MAL (V2)'!N</t>
  </si>
  <si>
    <t>MAL (V2)'!O</t>
  </si>
  <si>
    <t>MAL (V2)'!P</t>
  </si>
  <si>
    <t>MAL (V2)'!Q</t>
  </si>
  <si>
    <t>MAL (V2)'!S</t>
  </si>
  <si>
    <t>MAL (V2)'!R</t>
  </si>
  <si>
    <t>MAL (V2)'!T</t>
  </si>
  <si>
    <t>MAL (V2)'!U</t>
  </si>
  <si>
    <t>MAL (V2)'!V</t>
  </si>
  <si>
    <t>M9 MAG</t>
  </si>
  <si>
    <t>EA</t>
  </si>
  <si>
    <t>M9 LANYARD OR 550 CORD TIE DOWN</t>
  </si>
  <si>
    <t>M9 HOLSTER</t>
  </si>
  <si>
    <t>(Mount, Viewer, NSN: 5855-01-551-4525)</t>
  </si>
  <si>
    <t>RHINO MOUNT</t>
  </si>
  <si>
    <t>J-ARM</t>
  </si>
  <si>
    <t>* WHEN USED AS A:</t>
  </si>
  <si>
    <t>HAND RECEIPT, enter Hand Receipt Annex Number</t>
  </si>
  <si>
    <t>HAND RECEIPT FOR QUARTERS FURNITURE, enter Condition Codes</t>
  </si>
  <si>
    <t>HAND RECEIPT ANNEX/COMPONENTS RECEIPT, enter Accounting Requirements Code (ARC).</t>
  </si>
  <si>
    <t>PAGE  ______</t>
  </si>
  <si>
    <t>OF ______ PAGES</t>
  </si>
  <si>
    <t>DA FORM 2062, JAN 1982</t>
  </si>
  <si>
    <t>EDITION OF JAN 58 IS OBSOLETE</t>
  </si>
  <si>
    <t>APD PE v2.10</t>
  </si>
  <si>
    <t>(DA PAM 710-2-1)</t>
  </si>
  <si>
    <t>1. Weapons and Ammunition Issued</t>
  </si>
  <si>
    <t>2. Type Weapon</t>
  </si>
  <si>
    <t>3. Rack Number</t>
  </si>
  <si>
    <t>4. Ammo Issued (No of Rounds)</t>
  </si>
  <si>
    <t>5. Weapon Serial Number</t>
  </si>
  <si>
    <t>6. Issued to                      (Print &amp; Sign)</t>
  </si>
  <si>
    <t>7. Issued By (Initials)</t>
  </si>
  <si>
    <t>8. Weapon Returned To (Print &amp; Sign)</t>
  </si>
  <si>
    <t>9. Ammo Return (No. of Rounds)</t>
  </si>
  <si>
    <t>10. Weapons and Ammo Returned</t>
  </si>
  <si>
    <t>Date</t>
  </si>
  <si>
    <t>Time</t>
  </si>
  <si>
    <t/>
  </si>
  <si>
    <t>FB FORM 2488-1E, AUG 96 (AFZA-PM)</t>
  </si>
  <si>
    <t>PREVIOUS EDITION 1 DEC 87 MAY BE USED UNTIL STOCK IS EXHAUSTED</t>
  </si>
  <si>
    <t>V 1.0</t>
  </si>
  <si>
    <t>M249</t>
  </si>
  <si>
    <t>M2</t>
  </si>
  <si>
    <t>M2 Barrels</t>
  </si>
  <si>
    <t>MK19</t>
  </si>
  <si>
    <t>NEW 50's</t>
  </si>
  <si>
    <t>M60</t>
  </si>
  <si>
    <t>U486477 [Aco]</t>
  </si>
  <si>
    <t>108656 [SCT]</t>
  </si>
  <si>
    <t>942448 [A]</t>
  </si>
  <si>
    <t>15410 [B]</t>
  </si>
  <si>
    <t>9959 [SCT]</t>
  </si>
  <si>
    <t>4397 [A]</t>
  </si>
  <si>
    <t>U105273 [Aco]</t>
  </si>
  <si>
    <t>1367295 [E]</t>
  </si>
  <si>
    <t>25409 [B]</t>
  </si>
  <si>
    <t>U123184 [Aco]</t>
  </si>
  <si>
    <t>1376891 [B]</t>
  </si>
  <si>
    <t>942448 [B]</t>
  </si>
  <si>
    <t>27641 [C]</t>
  </si>
  <si>
    <t>U123185</t>
  </si>
  <si>
    <t>1631067 [C]</t>
  </si>
  <si>
    <t>32080 [A]</t>
  </si>
  <si>
    <t>367882 [SCT]</t>
  </si>
  <si>
    <t>U123186</t>
  </si>
  <si>
    <t>1852202 [C]</t>
  </si>
  <si>
    <t>U123187</t>
  </si>
  <si>
    <t>2044138 [D]</t>
  </si>
  <si>
    <t>40544 [C]</t>
  </si>
  <si>
    <t>26488 [SCT]</t>
  </si>
  <si>
    <t>A001790 [D]</t>
  </si>
  <si>
    <t>43225 [D]</t>
  </si>
  <si>
    <t>M3004156</t>
  </si>
  <si>
    <t>U41721 [SCT]</t>
  </si>
  <si>
    <t>A001798 [PSD]</t>
  </si>
  <si>
    <t>43524 [D]</t>
  </si>
  <si>
    <t>M3015411</t>
  </si>
  <si>
    <t>U74538 [MRT]</t>
  </si>
  <si>
    <t>M3009882 [C]</t>
  </si>
  <si>
    <t>43525 [D]</t>
  </si>
  <si>
    <t>M3016786</t>
  </si>
  <si>
    <t>M3020336 [A]</t>
  </si>
  <si>
    <t>45509 [D]</t>
  </si>
  <si>
    <t xml:space="preserve">M3032735 [C] </t>
  </si>
  <si>
    <t>45511 [MRT]</t>
  </si>
  <si>
    <t>M4001694 [D]</t>
  </si>
  <si>
    <t>45533 [B]</t>
  </si>
  <si>
    <t xml:space="preserve">M4006344 [MRT] </t>
  </si>
  <si>
    <t>45656 [C]</t>
  </si>
  <si>
    <t>M4006368 [MRT]</t>
  </si>
  <si>
    <t>46413 [E]</t>
  </si>
  <si>
    <t>M4006381 [B]</t>
  </si>
  <si>
    <t>A001798</t>
  </si>
  <si>
    <t>46444 [D]</t>
  </si>
  <si>
    <t>M4006406 [B]</t>
  </si>
  <si>
    <t>46445 [A]</t>
  </si>
  <si>
    <t>M4006827[A]</t>
  </si>
  <si>
    <t>M4006848 [A]</t>
  </si>
  <si>
    <t>46464 [A]</t>
  </si>
  <si>
    <t>M4006857 [E]</t>
  </si>
  <si>
    <t>M3029351 [A]</t>
  </si>
  <si>
    <t>M4006863 [D]</t>
  </si>
  <si>
    <t>M3032735 [C]</t>
  </si>
  <si>
    <t>M4006878 [C]</t>
  </si>
  <si>
    <t>46477 [C]</t>
  </si>
  <si>
    <t>M4006881 [D]</t>
  </si>
  <si>
    <t>M3033020 [A]</t>
  </si>
  <si>
    <t>46485 [B]</t>
  </si>
  <si>
    <t>M4006890 [D]</t>
  </si>
  <si>
    <t>M4006898 [PSD]</t>
  </si>
  <si>
    <t>46490 [A]</t>
  </si>
  <si>
    <t>M4007238 [A]</t>
  </si>
  <si>
    <t>46492 [A]</t>
  </si>
  <si>
    <t>M4007273 [B]</t>
  </si>
  <si>
    <t>M4006344</t>
  </si>
  <si>
    <t>M4007277 [A]</t>
  </si>
  <si>
    <t>46516 [D]</t>
  </si>
  <si>
    <t>M4007312 [C]</t>
  </si>
  <si>
    <t>M4006368</t>
  </si>
  <si>
    <t>46519 [A]</t>
  </si>
  <si>
    <t>M4007337 [PSD]</t>
  </si>
  <si>
    <t>46539 [C]</t>
  </si>
  <si>
    <t>M4006382 [A]</t>
  </si>
  <si>
    <t>46562 [E]</t>
  </si>
  <si>
    <t>46569 [D]</t>
  </si>
  <si>
    <t>M4006408 [A]</t>
  </si>
  <si>
    <t>M4006740 [A]</t>
  </si>
  <si>
    <t>M4006827 [A]</t>
  </si>
  <si>
    <t>M4006846 [A]</t>
  </si>
  <si>
    <t>M4006863 [A]</t>
  </si>
  <si>
    <t>M4006898</t>
  </si>
  <si>
    <t>M4007238 [E]</t>
  </si>
  <si>
    <t>M4007273</t>
  </si>
  <si>
    <t>M4007277</t>
  </si>
  <si>
    <t>M4007337 [D]</t>
  </si>
  <si>
    <t>UNKNOWN 1 [C]</t>
  </si>
  <si>
    <t>UNKNOWN 2 [C]</t>
  </si>
  <si>
    <t>UNKNOWN 3 [B]</t>
  </si>
  <si>
    <t>UNKNOWN 4 [B]</t>
  </si>
  <si>
    <t>UNKNOWN 5 [B]</t>
  </si>
  <si>
    <t>UNKNOWN 6 [B]</t>
  </si>
  <si>
    <t>M400689</t>
  </si>
  <si>
    <t>YELLOW: 1SG TPE</t>
  </si>
  <si>
    <t>LASER</t>
  </si>
  <si>
    <t>ADD</t>
  </si>
  <si>
    <t>WAGNER</t>
  </si>
  <si>
    <t>M4: W010182</t>
  </si>
  <si>
    <t>68: K2066898</t>
  </si>
  <si>
    <t>PEQ-15:  00031726</t>
  </si>
  <si>
    <t>PVS-7D: 8739G</t>
  </si>
  <si>
    <t>VASQUEZ</t>
  </si>
  <si>
    <t>M4: W013461</t>
  </si>
  <si>
    <t>68: W2487625</t>
  </si>
  <si>
    <t>PEQ-15: 080001</t>
  </si>
  <si>
    <t>PVS-7D: 8340G</t>
  </si>
  <si>
    <t>WEIMER</t>
  </si>
  <si>
    <t>M4: W012054</t>
  </si>
  <si>
    <t>68: K2222729</t>
  </si>
  <si>
    <t>PEQ-15:  00032715</t>
  </si>
  <si>
    <t>PVS7D:  8742G</t>
  </si>
  <si>
    <t>PVS-14: 74104481</t>
  </si>
  <si>
    <t>GRADE</t>
  </si>
  <si>
    <t>M4_SERIAL</t>
  </si>
  <si>
    <t>OPTIC_NSN</t>
  </si>
  <si>
    <t>OPTIC_SERIAL</t>
  </si>
  <si>
    <t>PEQ_NSN</t>
  </si>
  <si>
    <t>PEQ_SERIAL</t>
  </si>
  <si>
    <t>NODS_NSN</t>
  </si>
  <si>
    <t>NODS_SERIAL</t>
  </si>
  <si>
    <t>O-2</t>
  </si>
  <si>
    <t xml:space="preserve">1240-01-557-1897 </t>
  </si>
  <si>
    <t xml:space="preserve">5855-01-534-5931 </t>
  </si>
  <si>
    <t xml:space="preserve">5855-01-432-0524 </t>
  </si>
  <si>
    <t>E-4</t>
  </si>
  <si>
    <t>E-5</t>
  </si>
  <si>
    <t xml:space="preserve">1241-01-557-1897 </t>
  </si>
  <si>
    <t>E-6</t>
  </si>
  <si>
    <t xml:space="preserve">5855-01-579-0062 </t>
  </si>
  <si>
    <t xml:space="preserve">1242-01-557-1897 </t>
  </si>
  <si>
    <t xml:space="preserve">1005-01-562-0953 </t>
  </si>
  <si>
    <t xml:space="preserve">1243-01-557-1897 </t>
  </si>
  <si>
    <t>E-3</t>
  </si>
  <si>
    <t>1240-01-411-1265</t>
  </si>
  <si>
    <t xml:space="preserve">1244-01-557-1897 </t>
  </si>
  <si>
    <t xml:space="preserve">1245-01-557-1897 </t>
  </si>
  <si>
    <t xml:space="preserve">1246-01-557-1897 </t>
  </si>
  <si>
    <t xml:space="preserve">5855-01-603-0486 </t>
  </si>
  <si>
    <t xml:space="preserve">1247-01-557-1897 </t>
  </si>
  <si>
    <t xml:space="preserve">1248-01-557-1897 </t>
  </si>
  <si>
    <t xml:space="preserve">1249-01-557-1897 </t>
  </si>
  <si>
    <t xml:space="preserve">1250-01-557-1897 </t>
  </si>
  <si>
    <t xml:space="preserve">1251-01-557-1897 </t>
  </si>
  <si>
    <t xml:space="preserve">1252-01-557-1897 </t>
  </si>
  <si>
    <t xml:space="preserve">1253-01-557-1897 </t>
  </si>
  <si>
    <t>E-7</t>
  </si>
  <si>
    <t xml:space="preserve">1254-01-557-1897 </t>
  </si>
  <si>
    <t xml:space="preserve">1240-01-554-4488 </t>
  </si>
  <si>
    <t>E-2</t>
  </si>
  <si>
    <t>O-3</t>
  </si>
  <si>
    <t>O-4</t>
  </si>
  <si>
    <t>O-5</t>
  </si>
  <si>
    <t>E-9</t>
  </si>
  <si>
    <t>O-1</t>
  </si>
  <si>
    <t>PVS-14'S ONLY</t>
  </si>
  <si>
    <t>MICAHEL</t>
  </si>
  <si>
    <t>BROOKS</t>
  </si>
  <si>
    <t>MITCHELL</t>
  </si>
  <si>
    <t>74106813</t>
  </si>
  <si>
    <t>552</t>
  </si>
  <si>
    <t>CASTANEDA</t>
  </si>
  <si>
    <t>RAINER</t>
  </si>
  <si>
    <t>74106809</t>
  </si>
  <si>
    <t>CCO</t>
  </si>
  <si>
    <t>6526515</t>
  </si>
  <si>
    <t>FREEMAN</t>
  </si>
  <si>
    <t>74106944</t>
  </si>
  <si>
    <t>USUALLY JOSKOWITZ</t>
  </si>
  <si>
    <t>LELAND</t>
  </si>
  <si>
    <t>TEMPORARILY</t>
  </si>
  <si>
    <t>USUALLY SGT SMITH, DANTE</t>
  </si>
  <si>
    <t>MASON</t>
  </si>
  <si>
    <t>MOTEN</t>
  </si>
  <si>
    <t>USUALLY SSG GAUSE, EMITT</t>
  </si>
  <si>
    <t>ORTIZ</t>
  </si>
  <si>
    <t>NOTES</t>
  </si>
  <si>
    <t>ADDITIONAL SI</t>
  </si>
  <si>
    <t>USUALLY KABA MAHAMOUDOU</t>
  </si>
  <si>
    <t>RAVELLI</t>
  </si>
  <si>
    <t>6507718</t>
  </si>
  <si>
    <t>SHEPPARD</t>
  </si>
  <si>
    <t>GARRETT</t>
  </si>
  <si>
    <t>STENGLEIN</t>
  </si>
  <si>
    <t>USUALLY ROBERTS</t>
  </si>
  <si>
    <t>USUALLY THOMPSON / NVGS NEEDS NEW DATA PLATE</t>
  </si>
  <si>
    <t xml:space="preserve">MORA </t>
  </si>
  <si>
    <t>USUALLY LT DATER</t>
  </si>
  <si>
    <t>3181</t>
  </si>
  <si>
    <t>X</t>
  </si>
  <si>
    <t>WILL BECOME CPT RAY (ACTUAL S1)</t>
  </si>
  <si>
    <t>LINDSAY</t>
  </si>
  <si>
    <t>YANG</t>
  </si>
  <si>
    <t>CONNELL</t>
  </si>
  <si>
    <t>BRYAN</t>
  </si>
  <si>
    <t>HAZEN</t>
  </si>
  <si>
    <t>BRIAN</t>
  </si>
  <si>
    <t>USUALLY BC DRIVER</t>
  </si>
  <si>
    <t>USUALLY SSG QUINTANILLA</t>
  </si>
  <si>
    <t>HEILWICK</t>
  </si>
  <si>
    <t>USUALLY REACH SCOUTS</t>
  </si>
  <si>
    <t>ZBINDEN</t>
  </si>
  <si>
    <t>WILL BECOME CPT ZBINDEN (S6 ACTUAL)</t>
  </si>
  <si>
    <t>PVS14</t>
  </si>
  <si>
    <t>74106810</t>
  </si>
  <si>
    <t>SNIPER</t>
  </si>
  <si>
    <t>USUALLY RD9 DRIVER</t>
  </si>
  <si>
    <t>ETS ING / PV2 MASON</t>
  </si>
  <si>
    <t>A CO MED</t>
  </si>
  <si>
    <t>USUALLY LT HOUSTON OR PA / A CO MED</t>
  </si>
  <si>
    <t xml:space="preserve">THIS SHOULD BE DEAL </t>
  </si>
  <si>
    <t xml:space="preserve">THIS SHOULD BE CYR </t>
  </si>
  <si>
    <t>THIS SHOULD BE LINDSAY</t>
  </si>
  <si>
    <t>MASSEY</t>
  </si>
  <si>
    <t>CORBIN</t>
  </si>
  <si>
    <t>THIS SHOULD BE SETTLE</t>
  </si>
  <si>
    <t>THIS SHOULD BE HEILWICK</t>
  </si>
  <si>
    <t>THIS SHOULD BE S3</t>
  </si>
  <si>
    <t>X - SIGNED OUT, Y ASSIGNED, Z AVAILABLE</t>
  </si>
  <si>
    <t>Y</t>
  </si>
  <si>
    <t>Z</t>
  </si>
  <si>
    <t>JALEN</t>
  </si>
  <si>
    <t>ARMEL AT SERT</t>
  </si>
  <si>
    <t>74106815</t>
  </si>
  <si>
    <t>6518216</t>
  </si>
  <si>
    <t>WAS UNASSIGNED</t>
  </si>
  <si>
    <t>6517759</t>
  </si>
  <si>
    <t>6517936</t>
  </si>
  <si>
    <t>THIS SHOULD BE S1</t>
  </si>
  <si>
    <t>LATERAL TRANS</t>
  </si>
  <si>
    <t>M4 P</t>
  </si>
  <si>
    <t>PECHECO</t>
  </si>
  <si>
    <t>WAS MEROLA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</si>
</sst>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###"/>
    <numFmt numFmtId="166" formatCode="#,##0.00\ ;\(#,##0.00\)"/>
  </numFmts>
  <fonts count="31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b/>
      <sz val="10"/>
      <color rgb="FFFF0000"/>
      <name val="Calibri"/>
      <family val="2"/>
      <charset val="1"/>
    </font>
    <font>
      <b/>
      <u/>
      <sz val="10"/>
      <name val="Calibri"/>
      <family val="2"/>
      <charset val="1"/>
    </font>
    <font>
      <b/>
      <sz val="11"/>
      <color rgb="FF3F3F3F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92D05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8"/>
      <name val="Arial"/>
      <family val="2"/>
      <charset val="1"/>
    </font>
    <font>
      <b/>
      <sz val="12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8"/>
      <name val="Arial"/>
      <family val="2"/>
      <charset val="1"/>
    </font>
    <font>
      <b/>
      <sz val="11"/>
      <color rgb="FF00FF00"/>
      <name val="Calibri"/>
      <family val="2"/>
      <charset val="1"/>
    </font>
    <font>
      <sz val="10"/>
      <name val="Calibri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8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9"/>
      <name val="Arial"/>
      <family val="2"/>
      <charset val="1"/>
    </font>
    <font>
      <sz val="11"/>
      <name val="Arial"/>
      <family val="2"/>
      <charset val="1"/>
    </font>
    <font>
      <sz val="7"/>
      <name val="Arial"/>
      <family val="2"/>
      <charset val="1"/>
    </font>
    <font>
      <sz val="10"/>
      <color rgb="FFFA3000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name val="Arial"/>
      <family val="2"/>
    </font>
    <font>
      <b/>
      <sz val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B050"/>
      </patternFill>
    </fill>
    <fill>
      <patternFill patternType="solid">
        <fgColor rgb="FFFA3000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FA3000"/>
      </patternFill>
    </fill>
    <fill>
      <patternFill patternType="solid">
        <fgColor rgb="FF92D050"/>
        <bgColor rgb="FFBFBFBF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D9D9D9"/>
        <bgColor rgb="FFF2F2F2"/>
      </patternFill>
    </fill>
    <fill>
      <patternFill patternType="solid">
        <fgColor theme="2" tint="-9.9978637043366805E-2"/>
        <bgColor rgb="FF00B050"/>
      </patternFill>
    </fill>
    <fill>
      <patternFill patternType="solid">
        <fgColor rgb="FFFFFF00"/>
        <bgColor rgb="FF00B050"/>
      </patternFill>
    </fill>
    <fill>
      <patternFill patternType="solid">
        <fgColor theme="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249977111117893"/>
        <bgColor rgb="FF00B050"/>
      </patternFill>
    </fill>
    <fill>
      <patternFill patternType="solid">
        <fgColor rgb="FFFF0066"/>
        <bgColor rgb="FFF2F2F2"/>
      </patternFill>
    </fill>
    <fill>
      <patternFill patternType="solid">
        <fgColor theme="1"/>
        <bgColor rgb="FFF2F2F2"/>
      </patternFill>
    </fill>
    <fill>
      <patternFill patternType="solid">
        <fgColor theme="0" tint="-0.34998626667073579"/>
        <bgColor rgb="FF00B05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00B050"/>
      </patternFill>
    </fill>
    <fill>
      <patternFill patternType="solid">
        <fgColor theme="1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rgb="FF00B05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6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3F3F3F"/>
      </right>
      <top style="thin">
        <color rgb="FF3F3F3F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3F3F3F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1" applyProtection="0"/>
  </cellStyleXfs>
  <cellXfs count="588">
    <xf numFmtId="0" fontId="0" fillId="0" borderId="0" xfId="0"/>
    <xf numFmtId="49" fontId="1" fillId="3" borderId="3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4" borderId="4" xfId="0" applyNumberFormat="1" applyFont="1" applyFill="1" applyBorder="1" applyAlignment="1" applyProtection="1">
      <alignment horizontal="center" vertical="center" textRotation="45"/>
      <protection locked="0"/>
    </xf>
    <xf numFmtId="164" fontId="1" fillId="4" borderId="4" xfId="0" applyNumberFormat="1" applyFont="1" applyFill="1" applyBorder="1" applyAlignment="1" applyProtection="1">
      <alignment horizontal="center" vertical="center" textRotation="45"/>
      <protection locked="0"/>
    </xf>
    <xf numFmtId="0" fontId="3" fillId="4" borderId="4" xfId="0" applyFont="1" applyFill="1" applyBorder="1" applyAlignment="1">
      <alignment horizontal="center" vertical="center" textRotation="45"/>
    </xf>
    <xf numFmtId="0" fontId="1" fillId="4" borderId="4" xfId="0" applyFont="1" applyFill="1" applyBorder="1" applyAlignment="1">
      <alignment horizontal="center" vertical="center" textRotation="45" shrinkToFit="1"/>
    </xf>
    <xf numFmtId="49" fontId="1" fillId="4" borderId="4" xfId="0" applyNumberFormat="1" applyFont="1" applyFill="1" applyBorder="1" applyAlignment="1" applyProtection="1">
      <alignment horizontal="center" vertical="center" textRotation="45" shrinkToFit="1"/>
      <protection locked="0"/>
    </xf>
    <xf numFmtId="49" fontId="1" fillId="4" borderId="0" xfId="0" applyNumberFormat="1" applyFont="1" applyFill="1" applyBorder="1" applyAlignment="1" applyProtection="1">
      <alignment horizontal="center" vertical="center" textRotation="45"/>
      <protection locked="0"/>
    </xf>
    <xf numFmtId="0" fontId="1" fillId="4" borderId="0" xfId="0" applyFont="1" applyFill="1" applyBorder="1" applyAlignment="1">
      <alignment horizontal="center" vertical="center" textRotation="45"/>
    </xf>
    <xf numFmtId="0" fontId="1" fillId="4" borderId="0" xfId="0" applyFont="1" applyFill="1" applyBorder="1" applyAlignment="1">
      <alignment horizontal="center" vertical="center" textRotation="45" shrinkToFit="1"/>
    </xf>
    <xf numFmtId="0" fontId="1" fillId="4" borderId="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 vertical="center"/>
    </xf>
    <xf numFmtId="49" fontId="1" fillId="3" borderId="6" xfId="1" applyNumberFormat="1" applyFont="1" applyFill="1" applyBorder="1" applyAlignment="1" applyProtection="1">
      <alignment horizontal="center" vertical="center"/>
    </xf>
    <xf numFmtId="164" fontId="1" fillId="0" borderId="6" xfId="1" applyNumberFormat="1" applyFont="1" applyFill="1" applyBorder="1" applyAlignment="1" applyProtection="1">
      <alignment horizontal="center" vertical="center"/>
    </xf>
    <xf numFmtId="0" fontId="1" fillId="5" borderId="6" xfId="1" applyFont="1" applyFill="1" applyBorder="1" applyAlignment="1" applyProtection="1">
      <alignment horizontal="center" vertical="center"/>
    </xf>
    <xf numFmtId="49" fontId="1" fillId="5" borderId="6" xfId="1" applyNumberFormat="1" applyFont="1" applyFill="1" applyBorder="1" applyAlignment="1" applyProtection="1">
      <alignment horizontal="center" vertical="center"/>
    </xf>
    <xf numFmtId="0" fontId="1" fillId="0" borderId="6" xfId="1" applyFont="1" applyFill="1" applyBorder="1" applyAlignment="1" applyProtection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 vertical="center"/>
      <protection locked="0"/>
    </xf>
    <xf numFmtId="49" fontId="1" fillId="0" borderId="6" xfId="1" applyNumberFormat="1" applyFont="1" applyFill="1" applyBorder="1" applyAlignment="1" applyProtection="1">
      <alignment horizontal="center"/>
    </xf>
    <xf numFmtId="49" fontId="1" fillId="3" borderId="6" xfId="1" applyNumberFormat="1" applyFont="1" applyFill="1" applyBorder="1" applyAlignment="1" applyProtection="1">
      <alignment horizontal="center"/>
    </xf>
    <xf numFmtId="49" fontId="1" fillId="3" borderId="5" xfId="1" applyNumberFormat="1" applyFont="1" applyFill="1" applyBorder="1" applyAlignment="1" applyProtection="1">
      <alignment horizontal="center" vertical="center"/>
    </xf>
    <xf numFmtId="0" fontId="1" fillId="3" borderId="4" xfId="1" applyFont="1" applyFill="1" applyBorder="1" applyAlignment="1" applyProtection="1">
      <alignment horizontal="center" vertical="center"/>
    </xf>
    <xf numFmtId="49" fontId="1" fillId="3" borderId="4" xfId="1" applyNumberFormat="1" applyFont="1" applyFill="1" applyBorder="1" applyAlignment="1" applyProtection="1">
      <alignment horizontal="center"/>
    </xf>
    <xf numFmtId="49" fontId="5" fillId="0" borderId="4" xfId="1" applyNumberFormat="1" applyFont="1" applyFill="1" applyBorder="1" applyAlignment="1" applyProtection="1">
      <alignment horizontal="center" vertical="center"/>
    </xf>
    <xf numFmtId="49" fontId="1" fillId="0" borderId="4" xfId="1" applyNumberFormat="1" applyFont="1" applyFill="1" applyBorder="1" applyAlignment="1" applyProtection="1">
      <alignment horizontal="center" vertical="center"/>
    </xf>
    <xf numFmtId="49" fontId="5" fillId="3" borderId="4" xfId="1" applyNumberFormat="1" applyFont="1" applyFill="1" applyBorder="1" applyAlignment="1" applyProtection="1">
      <alignment horizontal="center" vertical="center"/>
    </xf>
    <xf numFmtId="0" fontId="1" fillId="0" borderId="4" xfId="1" applyFont="1" applyFill="1" applyBorder="1" applyAlignment="1" applyProtection="1">
      <alignment horizontal="center" vertical="center"/>
    </xf>
    <xf numFmtId="49" fontId="1" fillId="3" borderId="4" xfId="1" applyNumberFormat="1" applyFont="1" applyFill="1" applyBorder="1" applyAlignment="1" applyProtection="1">
      <alignment horizontal="center" vertical="center"/>
    </xf>
    <xf numFmtId="49" fontId="1" fillId="3" borderId="7" xfId="1" applyNumberFormat="1" applyFont="1" applyFill="1" applyBorder="1" applyAlignment="1" applyProtection="1">
      <alignment horizontal="center" vertical="center"/>
    </xf>
    <xf numFmtId="49" fontId="1" fillId="3" borderId="1" xfId="1" applyNumberFormat="1" applyFont="1" applyFill="1" applyAlignment="1" applyProtection="1">
      <alignment horizontal="center" vertical="center"/>
    </xf>
    <xf numFmtId="0" fontId="1" fillId="3" borderId="1" xfId="1" applyFont="1" applyFill="1" applyAlignment="1" applyProtection="1">
      <alignment horizontal="center" vertical="center"/>
    </xf>
    <xf numFmtId="49" fontId="1" fillId="0" borderId="1" xfId="1" applyNumberFormat="1" applyFont="1" applyFill="1" applyAlignment="1" applyProtection="1">
      <alignment horizontal="center" vertical="center"/>
    </xf>
    <xf numFmtId="164" fontId="1" fillId="0" borderId="4" xfId="1" applyNumberFormat="1" applyFont="1" applyFill="1" applyBorder="1" applyAlignment="1" applyProtection="1">
      <alignment horizontal="center" vertical="center"/>
    </xf>
    <xf numFmtId="0" fontId="1" fillId="4" borderId="4" xfId="1" applyFont="1" applyFill="1" applyBorder="1" applyAlignment="1" applyProtection="1">
      <alignment horizontal="center" vertical="center"/>
      <protection locked="0"/>
    </xf>
    <xf numFmtId="49" fontId="1" fillId="4" borderId="4" xfId="1" applyNumberFormat="1" applyFont="1" applyFill="1" applyBorder="1" applyAlignment="1" applyProtection="1">
      <alignment horizontal="center" vertical="center"/>
      <protection locked="0"/>
    </xf>
    <xf numFmtId="0" fontId="1" fillId="4" borderId="4" xfId="1" applyFont="1" applyFill="1" applyBorder="1" applyAlignment="1" applyProtection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0" fontId="0" fillId="0" borderId="4" xfId="0" applyBorder="1"/>
    <xf numFmtId="0" fontId="1" fillId="0" borderId="1" xfId="1" applyFont="1" applyFill="1" applyAlignment="1" applyProtection="1">
      <alignment horizontal="center" vertical="center"/>
    </xf>
    <xf numFmtId="49" fontId="1" fillId="5" borderId="6" xfId="1" applyNumberFormat="1" applyFont="1" applyFill="1" applyBorder="1" applyAlignment="1" applyProtection="1">
      <alignment horizontal="center"/>
    </xf>
    <xf numFmtId="49" fontId="1" fillId="3" borderId="4" xfId="1" applyNumberFormat="1" applyFont="1" applyFill="1" applyBorder="1" applyAlignment="1" applyProtection="1">
      <alignment horizontal="left" vertical="center"/>
    </xf>
    <xf numFmtId="0" fontId="1" fillId="5" borderId="4" xfId="1" applyFont="1" applyFill="1" applyBorder="1" applyAlignment="1" applyProtection="1">
      <alignment horizontal="center" vertical="center"/>
    </xf>
    <xf numFmtId="49" fontId="1" fillId="5" borderId="4" xfId="1" applyNumberFormat="1" applyFont="1" applyFill="1" applyBorder="1" applyAlignment="1" applyProtection="1">
      <alignment horizontal="center"/>
    </xf>
    <xf numFmtId="49" fontId="1" fillId="0" borderId="4" xfId="1" applyNumberFormat="1" applyFont="1" applyFill="1" applyBorder="1" applyAlignment="1" applyProtection="1">
      <alignment horizontal="center" vertical="center"/>
      <protection locked="0"/>
    </xf>
    <xf numFmtId="49" fontId="1" fillId="0" borderId="4" xfId="1" applyNumberFormat="1" applyFont="1" applyFill="1" applyBorder="1" applyAlignment="1" applyProtection="1">
      <alignment horizontal="center"/>
    </xf>
    <xf numFmtId="49" fontId="1" fillId="3" borderId="1" xfId="1" applyNumberFormat="1" applyFont="1" applyFill="1" applyAlignment="1" applyProtection="1">
      <alignment horizontal="center" vertical="center"/>
      <protection locked="0"/>
    </xf>
    <xf numFmtId="49" fontId="1" fillId="5" borderId="4" xfId="1" applyNumberFormat="1" applyFont="1" applyFill="1" applyBorder="1" applyAlignment="1" applyProtection="1">
      <alignment horizontal="center" vertical="center"/>
    </xf>
    <xf numFmtId="49" fontId="1" fillId="3" borderId="4" xfId="1" applyNumberFormat="1" applyFont="1" applyFill="1" applyBorder="1" applyAlignment="1" applyProtection="1">
      <alignment horizontal="center" vertical="center"/>
      <protection locked="0"/>
    </xf>
    <xf numFmtId="49" fontId="1" fillId="3" borderId="4" xfId="1" applyNumberFormat="1" applyFont="1" applyFill="1" applyBorder="1" applyAlignment="1" applyProtection="1">
      <alignment horizontal="center"/>
      <protection locked="0"/>
    </xf>
    <xf numFmtId="164" fontId="1" fillId="0" borderId="4" xfId="1" applyNumberFormat="1" applyFont="1" applyFill="1" applyBorder="1" applyAlignment="1" applyProtection="1">
      <alignment horizontal="center" vertical="center"/>
      <protection locked="0"/>
    </xf>
    <xf numFmtId="49" fontId="1" fillId="0" borderId="1" xfId="1" applyNumberFormat="1" applyFont="1" applyFill="1" applyAlignment="1" applyProtection="1">
      <alignment horizontal="center" vertical="center"/>
      <protection locked="0"/>
    </xf>
    <xf numFmtId="0" fontId="1" fillId="5" borderId="4" xfId="0" applyFont="1" applyFill="1" applyBorder="1" applyAlignment="1">
      <alignment horizontal="center" vertical="center"/>
    </xf>
    <xf numFmtId="0" fontId="5" fillId="0" borderId="4" xfId="1" applyFont="1" applyFill="1" applyBorder="1" applyAlignment="1" applyProtection="1">
      <alignment horizontal="center" vertical="center"/>
    </xf>
    <xf numFmtId="0" fontId="5" fillId="3" borderId="4" xfId="1" applyFont="1" applyFill="1" applyBorder="1" applyAlignment="1" applyProtection="1">
      <alignment horizontal="center" vertical="center"/>
    </xf>
    <xf numFmtId="49" fontId="5" fillId="3" borderId="7" xfId="1" applyNumberFormat="1" applyFont="1" applyFill="1" applyBorder="1" applyAlignment="1" applyProtection="1">
      <alignment horizontal="center" vertical="center"/>
    </xf>
    <xf numFmtId="49" fontId="1" fillId="0" borderId="8" xfId="1" applyNumberFormat="1" applyFont="1" applyFill="1" applyBorder="1" applyAlignment="1" applyProtection="1">
      <alignment horizontal="center" vertical="center"/>
      <protection locked="0"/>
    </xf>
    <xf numFmtId="49" fontId="1" fillId="0" borderId="8" xfId="1" applyNumberFormat="1" applyFont="1" applyFill="1" applyBorder="1" applyAlignment="1" applyProtection="1">
      <alignment horizontal="center" vertical="center"/>
    </xf>
    <xf numFmtId="49" fontId="1" fillId="0" borderId="4" xfId="1" applyNumberFormat="1" applyFont="1" applyFill="1" applyBorder="1" applyAlignment="1" applyProtection="1">
      <alignment horizontal="left" vertical="center"/>
    </xf>
    <xf numFmtId="49" fontId="6" fillId="3" borderId="4" xfId="1" applyNumberFormat="1" applyFont="1" applyFill="1" applyBorder="1" applyAlignment="1" applyProtection="1">
      <alignment horizontal="center" vertical="center"/>
    </xf>
    <xf numFmtId="49" fontId="5" fillId="0" borderId="4" xfId="1" applyNumberFormat="1" applyFont="1" applyFill="1" applyBorder="1" applyAlignment="1" applyProtection="1">
      <alignment horizontal="center"/>
    </xf>
    <xf numFmtId="49" fontId="5" fillId="3" borderId="4" xfId="1" applyNumberFormat="1" applyFont="1" applyFill="1" applyBorder="1" applyAlignment="1" applyProtection="1">
      <alignment horizontal="center"/>
    </xf>
    <xf numFmtId="49" fontId="1" fillId="0" borderId="5" xfId="1" applyNumberFormat="1" applyFont="1" applyFill="1" applyBorder="1" applyAlignment="1" applyProtection="1">
      <alignment horizontal="center" vertical="center"/>
      <protection locked="0"/>
    </xf>
    <xf numFmtId="49" fontId="5" fillId="3" borderId="9" xfId="1" applyNumberFormat="1" applyFont="1" applyFill="1" applyBorder="1" applyAlignment="1" applyProtection="1">
      <alignment horizontal="center" vertical="center"/>
    </xf>
    <xf numFmtId="49" fontId="1" fillId="3" borderId="10" xfId="1" applyNumberFormat="1" applyFont="1" applyFill="1" applyBorder="1" applyAlignment="1" applyProtection="1">
      <alignment horizontal="center" vertical="center"/>
    </xf>
    <xf numFmtId="0" fontId="1" fillId="0" borderId="10" xfId="1" applyFont="1" applyFill="1" applyBorder="1" applyAlignment="1" applyProtection="1">
      <alignment horizontal="center" vertical="center"/>
    </xf>
    <xf numFmtId="0" fontId="1" fillId="3" borderId="10" xfId="1" applyFont="1" applyFill="1" applyBorder="1" applyAlignment="1" applyProtection="1">
      <alignment horizontal="center" vertical="center"/>
    </xf>
    <xf numFmtId="49" fontId="1" fillId="0" borderId="10" xfId="1" applyNumberFormat="1" applyFont="1" applyFill="1" applyBorder="1" applyAlignment="1" applyProtection="1">
      <alignment horizontal="center"/>
    </xf>
    <xf numFmtId="49" fontId="1" fillId="3" borderId="10" xfId="1" applyNumberFormat="1" applyFont="1" applyFill="1" applyBorder="1" applyAlignment="1" applyProtection="1">
      <alignment horizontal="center"/>
    </xf>
    <xf numFmtId="49" fontId="5" fillId="3" borderId="12" xfId="1" applyNumberFormat="1" applyFont="1" applyFill="1" applyBorder="1" applyAlignment="1" applyProtection="1">
      <alignment horizontal="center" vertical="center"/>
    </xf>
    <xf numFmtId="49" fontId="1" fillId="3" borderId="13" xfId="1" applyNumberFormat="1" applyFont="1" applyFill="1" applyBorder="1" applyAlignment="1" applyProtection="1">
      <alignment horizontal="center" vertical="center"/>
    </xf>
    <xf numFmtId="0" fontId="1" fillId="0" borderId="13" xfId="1" applyFont="1" applyFill="1" applyBorder="1" applyAlignment="1" applyProtection="1">
      <alignment horizontal="center" vertical="center"/>
    </xf>
    <xf numFmtId="0" fontId="1" fillId="3" borderId="13" xfId="1" applyFont="1" applyFill="1" applyBorder="1" applyAlignment="1" applyProtection="1">
      <alignment horizontal="center" vertical="center"/>
    </xf>
    <xf numFmtId="49" fontId="1" fillId="0" borderId="13" xfId="1" applyNumberFormat="1" applyFont="1" applyFill="1" applyBorder="1" applyAlignment="1" applyProtection="1">
      <alignment horizontal="center"/>
    </xf>
    <xf numFmtId="49" fontId="1" fillId="3" borderId="13" xfId="1" applyNumberFormat="1" applyFont="1" applyFill="1" applyBorder="1" applyAlignment="1" applyProtection="1">
      <alignment horizontal="center"/>
    </xf>
    <xf numFmtId="164" fontId="1" fillId="0" borderId="4" xfId="1" applyNumberFormat="1" applyFont="1" applyFill="1" applyBorder="1" applyAlignment="1" applyProtection="1">
      <alignment horizontal="center"/>
    </xf>
    <xf numFmtId="0" fontId="1" fillId="5" borderId="4" xfId="1" applyFont="1" applyFill="1" applyBorder="1" applyAlignment="1" applyProtection="1">
      <alignment horizontal="center"/>
    </xf>
    <xf numFmtId="49" fontId="1" fillId="3" borderId="1" xfId="1" applyNumberFormat="1" applyFont="1" applyFill="1" applyAlignment="1" applyProtection="1">
      <alignment horizontal="center"/>
    </xf>
    <xf numFmtId="49" fontId="1" fillId="0" borderId="1" xfId="1" applyNumberFormat="1" applyFont="1" applyFill="1" applyAlignment="1" applyProtection="1">
      <alignment horizontal="center"/>
    </xf>
    <xf numFmtId="49" fontId="1" fillId="3" borderId="7" xfId="1" applyNumberFormat="1" applyFont="1" applyFill="1" applyBorder="1" applyAlignment="1" applyProtection="1">
      <alignment horizontal="center"/>
    </xf>
    <xf numFmtId="49" fontId="1" fillId="3" borderId="6" xfId="1" applyNumberFormat="1" applyFont="1" applyFill="1" applyBorder="1" applyAlignment="1" applyProtection="1">
      <alignment horizontal="center"/>
      <protection locked="0"/>
    </xf>
    <xf numFmtId="164" fontId="1" fillId="0" borderId="6" xfId="1" applyNumberFormat="1" applyFont="1" applyFill="1" applyBorder="1" applyAlignment="1" applyProtection="1">
      <alignment horizontal="center"/>
    </xf>
    <xf numFmtId="0" fontId="1" fillId="5" borderId="6" xfId="1" applyFont="1" applyFill="1" applyBorder="1" applyAlignment="1" applyProtection="1">
      <alignment horizont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4" xfId="1" applyFont="1" applyFill="1" applyBorder="1" applyAlignment="1" applyProtection="1">
      <alignment horizontal="center"/>
    </xf>
    <xf numFmtId="49" fontId="1" fillId="5" borderId="4" xfId="1" applyNumberFormat="1" applyFont="1" applyFill="1" applyBorder="1" applyAlignment="1" applyProtection="1">
      <alignment horizontal="center" vertical="center"/>
      <protection locked="0"/>
    </xf>
    <xf numFmtId="0" fontId="1" fillId="5" borderId="4" xfId="1" applyFont="1" applyFill="1" applyBorder="1" applyAlignment="1" applyProtection="1">
      <alignment horizontal="center"/>
      <protection locked="0"/>
    </xf>
    <xf numFmtId="49" fontId="1" fillId="0" borderId="4" xfId="1" applyNumberFormat="1" applyFont="1" applyFill="1" applyBorder="1" applyAlignment="1" applyProtection="1">
      <alignment horizontal="center"/>
      <protection locked="0"/>
    </xf>
    <xf numFmtId="49" fontId="1" fillId="3" borderId="7" xfId="1" applyNumberFormat="1" applyFont="1" applyFill="1" applyBorder="1" applyAlignment="1" applyProtection="1">
      <alignment horizontal="center" vertical="center"/>
      <protection locked="0"/>
    </xf>
    <xf numFmtId="0" fontId="1" fillId="5" borderId="4" xfId="1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>
      <alignment horizontal="center" vertical="center"/>
    </xf>
    <xf numFmtId="49" fontId="1" fillId="0" borderId="9" xfId="1" applyNumberFormat="1" applyFont="1" applyFill="1" applyBorder="1" applyAlignment="1" applyProtection="1">
      <alignment horizontal="center" vertical="center"/>
      <protection locked="0"/>
    </xf>
    <xf numFmtId="49" fontId="1" fillId="0" borderId="10" xfId="1" applyNumberFormat="1" applyFont="1" applyFill="1" applyBorder="1" applyAlignment="1" applyProtection="1">
      <alignment horizontal="center" vertical="center"/>
      <protection locked="0"/>
    </xf>
    <xf numFmtId="49" fontId="1" fillId="0" borderId="10" xfId="1" applyNumberFormat="1" applyFont="1" applyFill="1" applyBorder="1" applyAlignment="1" applyProtection="1">
      <alignment horizontal="center" vertical="center"/>
    </xf>
    <xf numFmtId="49" fontId="1" fillId="0" borderId="5" xfId="1" applyNumberFormat="1" applyFont="1" applyFill="1" applyBorder="1" applyAlignment="1" applyProtection="1">
      <alignment horizontal="center" vertical="center"/>
    </xf>
    <xf numFmtId="49" fontId="1" fillId="0" borderId="12" xfId="1" applyNumberFormat="1" applyFont="1" applyFill="1" applyBorder="1" applyAlignment="1" applyProtection="1">
      <alignment horizontal="center" vertical="center"/>
      <protection locked="0"/>
    </xf>
    <xf numFmtId="49" fontId="1" fillId="0" borderId="13" xfId="1" applyNumberFormat="1" applyFont="1" applyFill="1" applyBorder="1" applyAlignment="1" applyProtection="1">
      <alignment horizontal="center" vertical="center"/>
      <protection locked="0"/>
    </xf>
    <xf numFmtId="49" fontId="1" fillId="0" borderId="13" xfId="1" applyNumberFormat="1" applyFont="1" applyFill="1" applyBorder="1" applyAlignment="1" applyProtection="1">
      <alignment horizontal="center" vertical="center"/>
    </xf>
    <xf numFmtId="49" fontId="1" fillId="0" borderId="8" xfId="1" applyNumberFormat="1" applyFont="1" applyFill="1" applyBorder="1" applyAlignment="1" applyProtection="1">
      <alignment horizontal="center"/>
    </xf>
    <xf numFmtId="0" fontId="1" fillId="3" borderId="1" xfId="1" applyFont="1" applyFill="1" applyAlignment="1" applyProtection="1">
      <alignment horizontal="center"/>
    </xf>
    <xf numFmtId="164" fontId="1" fillId="3" borderId="4" xfId="1" applyNumberFormat="1" applyFont="1" applyFill="1" applyBorder="1" applyAlignment="1" applyProtection="1">
      <alignment horizontal="center"/>
    </xf>
    <xf numFmtId="0" fontId="5" fillId="5" borderId="4" xfId="1" applyFont="1" applyFill="1" applyBorder="1" applyAlignment="1" applyProtection="1">
      <alignment horizontal="center"/>
    </xf>
    <xf numFmtId="0" fontId="1" fillId="3" borderId="4" xfId="1" applyFont="1" applyFill="1" applyBorder="1" applyAlignment="1" applyProtection="1">
      <alignment horizontal="center"/>
    </xf>
    <xf numFmtId="164" fontId="1" fillId="3" borderId="4" xfId="1" applyNumberFormat="1" applyFont="1" applyFill="1" applyBorder="1" applyAlignment="1" applyProtection="1">
      <alignment horizontal="center" vertical="center"/>
    </xf>
    <xf numFmtId="49" fontId="1" fillId="3" borderId="9" xfId="1" applyNumberFormat="1" applyFont="1" applyFill="1" applyBorder="1" applyAlignment="1" applyProtection="1">
      <alignment horizontal="center" vertical="center"/>
    </xf>
    <xf numFmtId="49" fontId="1" fillId="3" borderId="12" xfId="1" applyNumberFormat="1" applyFont="1" applyFill="1" applyBorder="1" applyAlignment="1" applyProtection="1">
      <alignment horizontal="center" vertical="center"/>
    </xf>
    <xf numFmtId="49" fontId="1" fillId="3" borderId="6" xfId="1" applyNumberFormat="1" applyFont="1" applyFill="1" applyBorder="1" applyAlignment="1" applyProtection="1">
      <alignment horizontal="center" vertical="center"/>
      <protection locked="0"/>
    </xf>
    <xf numFmtId="164" fontId="1" fillId="3" borderId="6" xfId="1" applyNumberFormat="1" applyFont="1" applyFill="1" applyBorder="1" applyAlignment="1" applyProtection="1">
      <alignment horizontal="center" vertical="center"/>
    </xf>
    <xf numFmtId="0" fontId="1" fillId="3" borderId="6" xfId="1" applyFont="1" applyFill="1" applyBorder="1" applyAlignment="1" applyProtection="1">
      <alignment horizontal="center" vertical="center"/>
    </xf>
    <xf numFmtId="0" fontId="0" fillId="0" borderId="5" xfId="0" applyBorder="1"/>
    <xf numFmtId="49" fontId="1" fillId="3" borderId="13" xfId="1" applyNumberFormat="1" applyFont="1" applyFill="1" applyBorder="1" applyAlignment="1" applyProtection="1">
      <alignment horizontal="center" vertical="center"/>
      <protection locked="0"/>
    </xf>
    <xf numFmtId="164" fontId="1" fillId="3" borderId="4" xfId="1" applyNumberFormat="1" applyFont="1" applyFill="1" applyBorder="1" applyAlignment="1" applyProtection="1">
      <alignment horizontal="center" vertical="center"/>
      <protection locked="0"/>
    </xf>
    <xf numFmtId="0" fontId="1" fillId="3" borderId="7" xfId="1" applyFont="1" applyFill="1" applyBorder="1" applyAlignment="1" applyProtection="1">
      <alignment horizontal="center" vertical="center"/>
    </xf>
    <xf numFmtId="0" fontId="1" fillId="0" borderId="5" xfId="1" applyFont="1" applyFill="1" applyBorder="1" applyAlignment="1" applyProtection="1">
      <alignment horizontal="center" vertical="center"/>
    </xf>
    <xf numFmtId="49" fontId="1" fillId="0" borderId="7" xfId="1" applyNumberFormat="1" applyFont="1" applyFill="1" applyBorder="1" applyAlignment="1" applyProtection="1">
      <alignment horizontal="center" vertical="center"/>
    </xf>
    <xf numFmtId="0" fontId="1" fillId="3" borderId="5" xfId="1" applyFont="1" applyFill="1" applyBorder="1" applyAlignment="1" applyProtection="1">
      <alignment horizontal="center" vertical="center"/>
    </xf>
    <xf numFmtId="49" fontId="1" fillId="5" borderId="4" xfId="1" applyNumberFormat="1" applyFont="1" applyFill="1" applyBorder="1" applyAlignment="1" applyProtection="1">
      <alignment horizontal="center"/>
      <protection locked="0"/>
    </xf>
    <xf numFmtId="49" fontId="5" fillId="5" borderId="4" xfId="1" applyNumberFormat="1" applyFont="1" applyFill="1" applyBorder="1" applyAlignment="1" applyProtection="1">
      <alignment horizontal="center"/>
    </xf>
    <xf numFmtId="164" fontId="1" fillId="3" borderId="6" xfId="1" applyNumberFormat="1" applyFont="1" applyFill="1" applyBorder="1" applyAlignment="1" applyProtection="1">
      <alignment horizontal="center" vertical="center"/>
      <protection locked="0"/>
    </xf>
    <xf numFmtId="0" fontId="1" fillId="5" borderId="6" xfId="1" applyFont="1" applyFill="1" applyBorder="1" applyAlignment="1" applyProtection="1">
      <alignment horizontal="center"/>
      <protection locked="0"/>
    </xf>
    <xf numFmtId="49" fontId="1" fillId="5" borderId="6" xfId="1" applyNumberFormat="1" applyFont="1" applyFill="1" applyBorder="1" applyAlignment="1" applyProtection="1">
      <alignment horizontal="center"/>
      <protection locked="0"/>
    </xf>
    <xf numFmtId="49" fontId="1" fillId="5" borderId="6" xfId="1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/>
    <xf numFmtId="0" fontId="1" fillId="6" borderId="1" xfId="1" applyFont="1" applyFill="1" applyAlignment="1" applyProtection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6" xfId="1" applyFont="1" applyFill="1" applyBorder="1" applyAlignment="1" applyProtection="1">
      <alignment horizontal="center" vertical="center"/>
      <protection locked="0"/>
    </xf>
    <xf numFmtId="49" fontId="1" fillId="3" borderId="9" xfId="1" applyNumberFormat="1" applyFont="1" applyFill="1" applyBorder="1" applyAlignment="1" applyProtection="1">
      <alignment horizontal="center" vertical="center"/>
      <protection locked="0"/>
    </xf>
    <xf numFmtId="49" fontId="1" fillId="3" borderId="10" xfId="1" applyNumberFormat="1" applyFont="1" applyFill="1" applyBorder="1" applyAlignment="1" applyProtection="1">
      <alignment horizontal="center" vertical="center"/>
      <protection locked="0"/>
    </xf>
    <xf numFmtId="49" fontId="1" fillId="3" borderId="8" xfId="1" applyNumberFormat="1" applyFont="1" applyFill="1" applyBorder="1" applyAlignment="1" applyProtection="1">
      <alignment horizontal="center" vertical="center"/>
      <protection locked="0"/>
    </xf>
    <xf numFmtId="49" fontId="1" fillId="3" borderId="8" xfId="1" applyNumberFormat="1" applyFont="1" applyFill="1" applyBorder="1" applyAlignment="1" applyProtection="1">
      <alignment horizontal="center" vertical="center"/>
    </xf>
    <xf numFmtId="164" fontId="1" fillId="3" borderId="8" xfId="1" applyNumberFormat="1" applyFont="1" applyFill="1" applyBorder="1" applyAlignment="1" applyProtection="1">
      <alignment horizontal="center" vertical="center"/>
      <protection locked="0"/>
    </xf>
    <xf numFmtId="0" fontId="1" fillId="5" borderId="8" xfId="1" applyFont="1" applyFill="1" applyBorder="1" applyAlignment="1" applyProtection="1">
      <alignment horizontal="center"/>
    </xf>
    <xf numFmtId="49" fontId="1" fillId="5" borderId="8" xfId="1" applyNumberFormat="1" applyFont="1" applyFill="1" applyBorder="1" applyAlignment="1" applyProtection="1">
      <alignment horizontal="center"/>
    </xf>
    <xf numFmtId="0" fontId="1" fillId="5" borderId="14" xfId="1" applyFont="1" applyFill="1" applyBorder="1" applyAlignment="1" applyProtection="1">
      <alignment horizontal="center" vertical="center"/>
    </xf>
    <xf numFmtId="0" fontId="1" fillId="0" borderId="15" xfId="1" applyFont="1" applyFill="1" applyBorder="1" applyAlignment="1" applyProtection="1">
      <alignment horizontal="center"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1" fillId="3" borderId="12" xfId="1" applyNumberFormat="1" applyFont="1" applyFill="1" applyBorder="1" applyAlignment="1" applyProtection="1">
      <alignment horizontal="center" vertical="center"/>
      <protection locked="0"/>
    </xf>
    <xf numFmtId="49" fontId="1" fillId="3" borderId="1" xfId="1" applyNumberFormat="1" applyFont="1" applyFill="1" applyAlignment="1" applyProtection="1">
      <alignment horizontal="center" vertical="center" wrapText="1"/>
      <protection locked="0"/>
    </xf>
    <xf numFmtId="49" fontId="1" fillId="3" borderId="4" xfId="1" applyNumberFormat="1" applyFont="1" applyFill="1" applyBorder="1" applyAlignment="1" applyProtection="1">
      <alignment horizontal="left" vertical="center"/>
      <protection locked="0"/>
    </xf>
    <xf numFmtId="49" fontId="5" fillId="0" borderId="6" xfId="1" applyNumberFormat="1" applyFont="1" applyFill="1" applyBorder="1" applyAlignment="1" applyProtection="1">
      <alignment horizontal="center" vertical="center"/>
    </xf>
    <xf numFmtId="0" fontId="1" fillId="4" borderId="4" xfId="1" applyFont="1" applyFill="1" applyBorder="1" applyAlignment="1" applyProtection="1">
      <alignment horizontal="center"/>
    </xf>
    <xf numFmtId="49" fontId="1" fillId="4" borderId="4" xfId="1" applyNumberFormat="1" applyFont="1" applyFill="1" applyBorder="1" applyAlignment="1" applyProtection="1">
      <alignment horizontal="center"/>
    </xf>
    <xf numFmtId="49" fontId="1" fillId="3" borderId="5" xfId="1" applyNumberFormat="1" applyFont="1" applyFill="1" applyBorder="1" applyAlignment="1" applyProtection="1">
      <alignment vertical="center"/>
    </xf>
    <xf numFmtId="49" fontId="1" fillId="3" borderId="4" xfId="1" applyNumberFormat="1" applyFont="1" applyFill="1" applyBorder="1" applyAlignment="1" applyProtection="1">
      <alignment vertical="center"/>
    </xf>
    <xf numFmtId="49" fontId="1" fillId="3" borderId="16" xfId="1" applyNumberFormat="1" applyFont="1" applyFill="1" applyBorder="1" applyAlignment="1" applyProtection="1">
      <alignment horizontal="center" vertical="center"/>
      <protection locked="0"/>
    </xf>
    <xf numFmtId="49" fontId="1" fillId="3" borderId="17" xfId="1" applyNumberFormat="1" applyFont="1" applyFill="1" applyBorder="1" applyAlignment="1" applyProtection="1">
      <alignment horizontal="center" vertical="center"/>
      <protection locked="0"/>
    </xf>
    <xf numFmtId="49" fontId="1" fillId="3" borderId="17" xfId="1" applyNumberFormat="1" applyFont="1" applyFill="1" applyBorder="1" applyAlignment="1" applyProtection="1">
      <alignment horizontal="center" vertical="center"/>
    </xf>
    <xf numFmtId="0" fontId="1" fillId="3" borderId="17" xfId="1" applyFont="1" applyFill="1" applyBorder="1" applyAlignment="1" applyProtection="1">
      <alignment horizontal="center" vertical="center"/>
    </xf>
    <xf numFmtId="49" fontId="1" fillId="3" borderId="19" xfId="1" applyNumberFormat="1" applyFont="1" applyFill="1" applyBorder="1" applyAlignment="1" applyProtection="1">
      <alignment horizontal="center" vertical="center"/>
      <protection locked="0"/>
    </xf>
    <xf numFmtId="49" fontId="1" fillId="3" borderId="20" xfId="1" applyNumberFormat="1" applyFont="1" applyFill="1" applyBorder="1" applyAlignment="1" applyProtection="1">
      <alignment horizontal="center" vertical="center"/>
      <protection locked="0"/>
    </xf>
    <xf numFmtId="49" fontId="1" fillId="3" borderId="20" xfId="1" applyNumberFormat="1" applyFont="1" applyFill="1" applyBorder="1" applyAlignment="1" applyProtection="1">
      <alignment horizontal="center" vertical="center"/>
    </xf>
    <xf numFmtId="0" fontId="1" fillId="3" borderId="20" xfId="1" applyFont="1" applyFill="1" applyBorder="1" applyAlignment="1" applyProtection="1">
      <alignment horizontal="center" vertical="center"/>
    </xf>
    <xf numFmtId="49" fontId="1" fillId="3" borderId="16" xfId="1" applyNumberFormat="1" applyFont="1" applyFill="1" applyBorder="1" applyAlignment="1" applyProtection="1">
      <alignment horizontal="center" vertical="center"/>
    </xf>
    <xf numFmtId="49" fontId="1" fillId="3" borderId="19" xfId="1" applyNumberFormat="1" applyFont="1" applyFill="1" applyBorder="1" applyAlignment="1" applyProtection="1">
      <alignment horizontal="center" vertical="center"/>
    </xf>
    <xf numFmtId="164" fontId="1" fillId="0" borderId="6" xfId="1" applyNumberFormat="1" applyFont="1" applyFill="1" applyBorder="1" applyAlignment="1" applyProtection="1">
      <alignment horizontal="center" vertical="center"/>
      <protection locked="0"/>
    </xf>
    <xf numFmtId="49" fontId="0" fillId="0" borderId="4" xfId="0" applyNumberFormat="1" applyBorder="1"/>
    <xf numFmtId="49" fontId="1" fillId="3" borderId="5" xfId="1" applyNumberFormat="1" applyFont="1" applyFill="1" applyBorder="1" applyAlignment="1" applyProtection="1">
      <alignment horizontal="center" vertical="center"/>
      <protection locked="0"/>
    </xf>
    <xf numFmtId="49" fontId="1" fillId="3" borderId="22" xfId="1" applyNumberFormat="1" applyFont="1" applyFill="1" applyBorder="1" applyAlignment="1" applyProtection="1">
      <alignment horizontal="center" vertical="center"/>
    </xf>
    <xf numFmtId="49" fontId="1" fillId="3" borderId="23" xfId="1" applyNumberFormat="1" applyFont="1" applyFill="1" applyBorder="1" applyAlignment="1" applyProtection="1">
      <alignment horizontal="center" vertical="center"/>
    </xf>
    <xf numFmtId="49" fontId="1" fillId="3" borderId="23" xfId="1" applyNumberFormat="1" applyFont="1" applyFill="1" applyBorder="1" applyAlignment="1" applyProtection="1">
      <alignment horizontal="center" vertical="center"/>
      <protection locked="0"/>
    </xf>
    <xf numFmtId="0" fontId="1" fillId="3" borderId="23" xfId="1" applyFont="1" applyFill="1" applyBorder="1" applyAlignment="1" applyProtection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49" fontId="1" fillId="3" borderId="24" xfId="1" applyNumberFormat="1" applyFont="1" applyFill="1" applyBorder="1" applyAlignment="1" applyProtection="1">
      <alignment horizontal="center" vertical="center"/>
    </xf>
    <xf numFmtId="49" fontId="1" fillId="3" borderId="5" xfId="1" applyNumberFormat="1" applyFont="1" applyFill="1" applyBorder="1" applyAlignment="1" applyProtection="1">
      <alignment horizontal="center"/>
    </xf>
    <xf numFmtId="164" fontId="1" fillId="3" borderId="6" xfId="1" applyNumberFormat="1" applyFont="1" applyFill="1" applyBorder="1" applyAlignment="1" applyProtection="1">
      <alignment horizontal="center"/>
    </xf>
    <xf numFmtId="49" fontId="1" fillId="3" borderId="12" xfId="1" applyNumberFormat="1" applyFont="1" applyFill="1" applyBorder="1" applyAlignment="1" applyProtection="1">
      <alignment horizontal="center"/>
    </xf>
    <xf numFmtId="0" fontId="1" fillId="3" borderId="13" xfId="1" applyFont="1" applyFill="1" applyBorder="1" applyAlignment="1" applyProtection="1">
      <alignment horizontal="center"/>
    </xf>
    <xf numFmtId="49" fontId="1" fillId="3" borderId="13" xfId="1" applyNumberFormat="1" applyFont="1" applyFill="1" applyBorder="1" applyAlignment="1" applyProtection="1">
      <alignment horizontal="center"/>
      <protection locked="0"/>
    </xf>
    <xf numFmtId="49" fontId="1" fillId="3" borderId="7" xfId="1" applyNumberFormat="1" applyFont="1" applyFill="1" applyBorder="1" applyAlignment="1" applyProtection="1">
      <alignment horizontal="center"/>
      <protection locked="0"/>
    </xf>
    <xf numFmtId="49" fontId="1" fillId="3" borderId="1" xfId="1" applyNumberFormat="1" applyFont="1" applyFill="1" applyAlignment="1" applyProtection="1">
      <alignment horizontal="center"/>
      <protection locked="0"/>
    </xf>
    <xf numFmtId="49" fontId="1" fillId="7" borderId="0" xfId="1" applyNumberFormat="1" applyFont="1" applyFill="1" applyBorder="1" applyAlignment="1" applyProtection="1">
      <alignment horizontal="center"/>
    </xf>
    <xf numFmtId="0" fontId="1" fillId="7" borderId="0" xfId="1" applyFont="1" applyFill="1" applyBorder="1" applyAlignment="1" applyProtection="1">
      <alignment horizontal="center"/>
    </xf>
    <xf numFmtId="49" fontId="1" fillId="7" borderId="7" xfId="1" applyNumberFormat="1" applyFont="1" applyFill="1" applyBorder="1" applyAlignment="1" applyProtection="1">
      <alignment horizontal="center"/>
    </xf>
    <xf numFmtId="0" fontId="1" fillId="7" borderId="1" xfId="1" applyFont="1" applyFill="1" applyAlignment="1" applyProtection="1">
      <alignment horizontal="center" vertical="center"/>
    </xf>
    <xf numFmtId="49" fontId="5" fillId="5" borderId="4" xfId="1" applyNumberFormat="1" applyFont="1" applyFill="1" applyBorder="1" applyAlignment="1" applyProtection="1">
      <alignment horizontal="center" vertical="center"/>
    </xf>
    <xf numFmtId="0" fontId="5" fillId="5" borderId="4" xfId="1" applyFont="1" applyFill="1" applyBorder="1" applyAlignment="1" applyProtection="1">
      <alignment horizontal="center" vertical="center"/>
    </xf>
    <xf numFmtId="49" fontId="1" fillId="3" borderId="4" xfId="1" applyNumberFormat="1" applyFont="1" applyFill="1" applyBorder="1" applyAlignment="1" applyProtection="1">
      <alignment horizontal="left"/>
    </xf>
    <xf numFmtId="49" fontId="1" fillId="0" borderId="7" xfId="1" applyNumberFormat="1" applyFont="1" applyFill="1" applyBorder="1" applyAlignment="1" applyProtection="1">
      <alignment horizontal="center"/>
    </xf>
    <xf numFmtId="0" fontId="4" fillId="2" borderId="1" xfId="1" applyAlignment="1" applyProtection="1">
      <alignment horizontal="center" vertical="center"/>
    </xf>
    <xf numFmtId="49" fontId="1" fillId="8" borderId="4" xfId="1" applyNumberFormat="1" applyFont="1" applyFill="1" applyBorder="1" applyAlignment="1" applyProtection="1">
      <alignment horizontal="center" vertical="center"/>
    </xf>
    <xf numFmtId="0" fontId="1" fillId="8" borderId="4" xfId="1" applyFont="1" applyFill="1" applyBorder="1" applyAlignment="1" applyProtection="1">
      <alignment horizontal="center" vertical="center"/>
    </xf>
    <xf numFmtId="49" fontId="5" fillId="0" borderId="4" xfId="1" applyNumberFormat="1" applyFont="1" applyFill="1" applyBorder="1" applyAlignment="1" applyProtection="1">
      <alignment horizontal="left" vertical="center"/>
    </xf>
    <xf numFmtId="49" fontId="5" fillId="0" borderId="7" xfId="1" applyNumberFormat="1" applyFont="1" applyFill="1" applyBorder="1" applyAlignment="1" applyProtection="1">
      <alignment horizontal="center" vertical="center"/>
    </xf>
    <xf numFmtId="49" fontId="4" fillId="3" borderId="1" xfId="1" applyNumberFormat="1" applyFill="1" applyAlignment="1" applyProtection="1">
      <alignment horizontal="center" vertical="center"/>
    </xf>
    <xf numFmtId="0" fontId="4" fillId="3" borderId="1" xfId="1" applyFill="1" applyAlignment="1" applyProtection="1">
      <alignment horizontal="center" vertical="center"/>
    </xf>
    <xf numFmtId="164" fontId="5" fillId="0" borderId="4" xfId="1" applyNumberFormat="1" applyFont="1" applyFill="1" applyBorder="1" applyAlignment="1" applyProtection="1">
      <alignment horizontal="center" vertical="center"/>
    </xf>
    <xf numFmtId="49" fontId="4" fillId="3" borderId="4" xfId="1" applyNumberFormat="1" applyFill="1" applyBorder="1" applyAlignment="1" applyProtection="1">
      <alignment horizontal="center" vertical="center"/>
    </xf>
    <xf numFmtId="49" fontId="4" fillId="3" borderId="7" xfId="1" applyNumberFormat="1" applyFill="1" applyBorder="1" applyAlignment="1" applyProtection="1">
      <alignment horizontal="center" vertical="center"/>
    </xf>
    <xf numFmtId="165" fontId="1" fillId="4" borderId="4" xfId="0" applyNumberFormat="1" applyFont="1" applyFill="1" applyBorder="1" applyAlignment="1" applyProtection="1">
      <alignment horizontal="center" vertical="center" textRotation="45"/>
      <protection locked="0"/>
    </xf>
    <xf numFmtId="0" fontId="1" fillId="3" borderId="4" xfId="1" applyFont="1" applyFill="1" applyBorder="1" applyAlignment="1" applyProtection="1">
      <alignment horizontal="center" vertical="center"/>
      <protection locked="0"/>
    </xf>
    <xf numFmtId="165" fontId="1" fillId="3" borderId="4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Fill="1" applyBorder="1" applyAlignment="1" applyProtection="1">
      <alignment horizontal="center" vertical="center"/>
      <protection locked="0"/>
    </xf>
    <xf numFmtId="165" fontId="1" fillId="0" borderId="4" xfId="1" applyNumberFormat="1" applyFont="1" applyFill="1" applyBorder="1" applyAlignment="1" applyProtection="1">
      <alignment horizontal="center" vertical="center"/>
      <protection locked="0"/>
    </xf>
    <xf numFmtId="0" fontId="1" fillId="0" borderId="8" xfId="1" applyFont="1" applyFill="1" applyBorder="1" applyAlignment="1" applyProtection="1">
      <alignment horizontal="center" vertical="center"/>
    </xf>
    <xf numFmtId="49" fontId="7" fillId="0" borderId="4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9" fillId="0" borderId="0" xfId="0" applyFont="1"/>
    <xf numFmtId="0" fontId="9" fillId="7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9" borderId="25" xfId="0" applyFont="1" applyFill="1" applyBorder="1" applyAlignment="1">
      <alignment horizontal="left" vertical="top" wrapText="1"/>
    </xf>
    <xf numFmtId="0" fontId="9" fillId="9" borderId="0" xfId="0" applyFont="1" applyFill="1" applyBorder="1" applyAlignment="1">
      <alignment horizontal="left" vertical="top" wrapText="1"/>
    </xf>
    <xf numFmtId="0" fontId="9" fillId="10" borderId="26" xfId="0" applyFont="1" applyFill="1" applyBorder="1" applyAlignment="1">
      <alignment horizontal="left" vertical="top" wrapText="1"/>
    </xf>
    <xf numFmtId="0" fontId="9" fillId="10" borderId="27" xfId="0" applyFont="1" applyFill="1" applyBorder="1" applyAlignment="1">
      <alignment horizontal="left" vertical="top" wrapText="1"/>
    </xf>
    <xf numFmtId="9" fontId="9" fillId="10" borderId="27" xfId="0" applyNumberFormat="1" applyFont="1" applyFill="1" applyBorder="1" applyAlignment="1">
      <alignment horizontal="left" vertical="top" wrapText="1"/>
    </xf>
    <xf numFmtId="0" fontId="9" fillId="10" borderId="25" xfId="0" applyFont="1" applyFill="1" applyBorder="1" applyAlignment="1">
      <alignment horizontal="left" vertical="top" wrapText="1"/>
    </xf>
    <xf numFmtId="0" fontId="11" fillId="10" borderId="27" xfId="0" applyFont="1" applyFill="1" applyBorder="1" applyAlignment="1">
      <alignment horizontal="left" vertical="top" wrapText="1"/>
    </xf>
    <xf numFmtId="0" fontId="11" fillId="10" borderId="27" xfId="0" applyFont="1" applyFill="1" applyBorder="1" applyAlignment="1">
      <alignment horizontal="center" vertical="top" wrapText="1"/>
    </xf>
    <xf numFmtId="0" fontId="11" fillId="10" borderId="0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49" fontId="12" fillId="0" borderId="6" xfId="0" applyNumberFormat="1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center" vertical="top" wrapText="1"/>
    </xf>
    <xf numFmtId="0" fontId="12" fillId="3" borderId="6" xfId="0" applyFont="1" applyFill="1" applyBorder="1" applyAlignment="1">
      <alignment vertical="top" wrapText="1"/>
    </xf>
    <xf numFmtId="0" fontId="12" fillId="0" borderId="6" xfId="0" applyFont="1" applyBorder="1" applyAlignment="1">
      <alignment horizontal="right" vertical="top" wrapText="1"/>
    </xf>
    <xf numFmtId="166" fontId="12" fillId="0" borderId="0" xfId="0" applyNumberFormat="1" applyFont="1" applyBorder="1" applyAlignment="1">
      <alignment horizontal="left" vertical="top" wrapText="1"/>
    </xf>
    <xf numFmtId="166" fontId="12" fillId="0" borderId="0" xfId="0" applyNumberFormat="1" applyFont="1" applyAlignment="1">
      <alignment horizontal="left" vertical="top" wrapText="1"/>
    </xf>
    <xf numFmtId="49" fontId="12" fillId="0" borderId="4" xfId="0" applyNumberFormat="1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center" vertical="top" wrapText="1"/>
    </xf>
    <xf numFmtId="0" fontId="12" fillId="3" borderId="4" xfId="0" applyFont="1" applyFill="1" applyBorder="1" applyAlignment="1">
      <alignment vertical="top" wrapText="1"/>
    </xf>
    <xf numFmtId="0" fontId="12" fillId="0" borderId="4" xfId="0" applyFont="1" applyBorder="1" applyAlignment="1">
      <alignment horizontal="right" vertical="top" wrapText="1"/>
    </xf>
    <xf numFmtId="49" fontId="12" fillId="0" borderId="4" xfId="0" applyNumberFormat="1" applyFont="1" applyBorder="1" applyAlignment="1">
      <alignment horizontal="center" vertical="top" wrapText="1"/>
    </xf>
    <xf numFmtId="0" fontId="12" fillId="3" borderId="4" xfId="0" applyFont="1" applyFill="1" applyBorder="1" applyAlignment="1">
      <alignment horizontal="right" vertical="top" wrapText="1"/>
    </xf>
    <xf numFmtId="166" fontId="12" fillId="3" borderId="0" xfId="0" applyNumberFormat="1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shrinkToFit="1"/>
    </xf>
    <xf numFmtId="0" fontId="12" fillId="0" borderId="4" xfId="0" applyFont="1" applyBorder="1" applyAlignment="1">
      <alignment vertical="top" wrapText="1"/>
    </xf>
    <xf numFmtId="49" fontId="12" fillId="0" borderId="4" xfId="0" applyNumberFormat="1" applyFont="1" applyBorder="1" applyAlignment="1"/>
    <xf numFmtId="49" fontId="9" fillId="0" borderId="4" xfId="0" applyNumberFormat="1" applyFont="1" applyBorder="1" applyAlignment="1">
      <alignment horizontal="center"/>
    </xf>
    <xf numFmtId="49" fontId="12" fillId="0" borderId="4" xfId="0" applyNumberFormat="1" applyFont="1" applyBorder="1" applyAlignment="1">
      <alignment vertical="top" wrapText="1"/>
    </xf>
    <xf numFmtId="16" fontId="12" fillId="0" borderId="4" xfId="0" applyNumberFormat="1" applyFont="1" applyBorder="1" applyAlignment="1">
      <alignment horizontal="center" vertical="top" wrapText="1"/>
    </xf>
    <xf numFmtId="49" fontId="12" fillId="6" borderId="4" xfId="0" applyNumberFormat="1" applyFont="1" applyFill="1" applyBorder="1" applyAlignment="1">
      <alignment horizontal="left" vertical="top" wrapText="1"/>
    </xf>
    <xf numFmtId="0" fontId="12" fillId="6" borderId="4" xfId="0" applyFont="1" applyFill="1" applyBorder="1" applyAlignment="1">
      <alignment horizontal="left" vertical="top" wrapText="1"/>
    </xf>
    <xf numFmtId="0" fontId="12" fillId="6" borderId="4" xfId="0" applyFont="1" applyFill="1" applyBorder="1" applyAlignment="1">
      <alignment horizontal="center" vertical="top" wrapText="1"/>
    </xf>
    <xf numFmtId="49" fontId="12" fillId="4" borderId="4" xfId="0" applyNumberFormat="1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center" vertical="top" wrapText="1"/>
    </xf>
    <xf numFmtId="49" fontId="12" fillId="8" borderId="4" xfId="0" applyNumberFormat="1" applyFont="1" applyFill="1" applyBorder="1" applyAlignment="1">
      <alignment horizontal="left" vertical="top" wrapText="1"/>
    </xf>
    <xf numFmtId="0" fontId="12" fillId="8" borderId="4" xfId="0" applyFont="1" applyFill="1" applyBorder="1" applyAlignment="1">
      <alignment horizontal="left" vertical="top" wrapText="1"/>
    </xf>
    <xf numFmtId="49" fontId="12" fillId="8" borderId="4" xfId="0" applyNumberFormat="1" applyFont="1" applyFill="1" applyBorder="1" applyAlignment="1">
      <alignment horizontal="center" vertical="top" wrapText="1"/>
    </xf>
    <xf numFmtId="0" fontId="12" fillId="8" borderId="4" xfId="0" applyFont="1" applyFill="1" applyBorder="1" applyAlignment="1">
      <alignment horizontal="left" vertical="top" shrinkToFit="1"/>
    </xf>
    <xf numFmtId="0" fontId="12" fillId="8" borderId="4" xfId="0" applyFont="1" applyFill="1" applyBorder="1" applyAlignment="1">
      <alignment horizontal="center" vertical="top" wrapText="1"/>
    </xf>
    <xf numFmtId="0" fontId="13" fillId="7" borderId="0" xfId="0" applyFont="1" applyFill="1" applyAlignment="1">
      <alignment horizontal="left" vertical="top" wrapText="1"/>
    </xf>
    <xf numFmtId="0" fontId="12" fillId="3" borderId="4" xfId="0" applyFont="1" applyFill="1" applyBorder="1" applyAlignment="1">
      <alignment horizontal="left" vertical="top" wrapText="1"/>
    </xf>
    <xf numFmtId="49" fontId="10" fillId="9" borderId="27" xfId="0" applyNumberFormat="1" applyFont="1" applyFill="1" applyBorder="1" applyAlignment="1">
      <alignment horizontal="left" vertical="top" wrapText="1"/>
    </xf>
    <xf numFmtId="49" fontId="11" fillId="10" borderId="28" xfId="0" applyNumberFormat="1" applyFont="1" applyFill="1" applyBorder="1" applyAlignment="1">
      <alignment horizontal="left" vertical="top" wrapText="1"/>
    </xf>
    <xf numFmtId="0" fontId="11" fillId="10" borderId="26" xfId="0" applyFont="1" applyFill="1" applyBorder="1" applyAlignment="1">
      <alignment horizontal="left" vertical="top" wrapText="1"/>
    </xf>
    <xf numFmtId="0" fontId="11" fillId="10" borderId="25" xfId="0" applyFont="1" applyFill="1" applyBorder="1" applyAlignment="1">
      <alignment horizontal="left" vertical="top" wrapText="1"/>
    </xf>
    <xf numFmtId="0" fontId="12" fillId="4" borderId="6" xfId="0" applyFont="1" applyFill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3" borderId="0" xfId="0" applyFont="1" applyFill="1" applyBorder="1" applyAlignment="1">
      <alignment horizontal="left" vertical="top" wrapText="1"/>
    </xf>
    <xf numFmtId="49" fontId="12" fillId="4" borderId="29" xfId="0" applyNumberFormat="1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shrinkToFit="1"/>
    </xf>
    <xf numFmtId="3" fontId="12" fillId="0" borderId="0" xfId="0" applyNumberFormat="1" applyFont="1" applyAlignment="1">
      <alignment horizontal="left" vertical="top" wrapText="1"/>
    </xf>
    <xf numFmtId="3" fontId="12" fillId="0" borderId="0" xfId="0" applyNumberFormat="1" applyFont="1" applyBorder="1" applyAlignment="1">
      <alignment horizontal="left" vertical="top" wrapText="1"/>
    </xf>
    <xf numFmtId="4" fontId="12" fillId="0" borderId="0" xfId="0" applyNumberFormat="1" applyFont="1" applyBorder="1" applyAlignment="1">
      <alignment horizontal="left" vertical="top" wrapText="1"/>
    </xf>
    <xf numFmtId="16" fontId="12" fillId="4" borderId="4" xfId="0" applyNumberFormat="1" applyFont="1" applyFill="1" applyBorder="1" applyAlignment="1">
      <alignment horizontal="left" vertical="top" wrapText="1"/>
    </xf>
    <xf numFmtId="49" fontId="14" fillId="4" borderId="4" xfId="0" applyNumberFormat="1" applyFont="1" applyFill="1" applyBorder="1" applyAlignment="1">
      <alignment horizontal="left" vertical="top" wrapText="1"/>
    </xf>
    <xf numFmtId="0" fontId="8" fillId="5" borderId="27" xfId="0" applyFont="1" applyFill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15" fillId="0" borderId="27" xfId="0" applyFont="1" applyBorder="1" applyAlignment="1">
      <alignment horizontal="left" vertical="top" wrapText="1"/>
    </xf>
    <xf numFmtId="0" fontId="8" fillId="11" borderId="27" xfId="0" applyFont="1" applyFill="1" applyBorder="1" applyAlignment="1">
      <alignment horizontal="left" vertical="top" wrapText="1"/>
    </xf>
    <xf numFmtId="0" fontId="9" fillId="0" borderId="24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8" fillId="6" borderId="30" xfId="0" applyFont="1" applyFill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9" fillId="0" borderId="32" xfId="0" applyFont="1" applyBorder="1" applyAlignment="1">
      <alignment horizontal="left" vertical="top" wrapText="1"/>
    </xf>
    <xf numFmtId="49" fontId="9" fillId="8" borderId="27" xfId="0" applyNumberFormat="1" applyFont="1" applyFill="1" applyBorder="1" applyAlignment="1">
      <alignment horizontal="left" vertical="top" wrapText="1"/>
    </xf>
    <xf numFmtId="0" fontId="5" fillId="0" borderId="30" xfId="0" applyFont="1" applyBorder="1" applyAlignment="1"/>
    <xf numFmtId="0" fontId="17" fillId="0" borderId="33" xfId="0" applyFont="1" applyBorder="1" applyAlignment="1"/>
    <xf numFmtId="0" fontId="16" fillId="0" borderId="34" xfId="0" applyFont="1" applyBorder="1"/>
    <xf numFmtId="0" fontId="16" fillId="0" borderId="35" xfId="0" applyFont="1" applyBorder="1" applyAlignment="1">
      <alignment horizontal="center"/>
    </xf>
    <xf numFmtId="0" fontId="1" fillId="0" borderId="34" xfId="0" applyFont="1" applyBorder="1" applyAlignment="1">
      <alignment horizontal="right"/>
    </xf>
    <xf numFmtId="49" fontId="1" fillId="0" borderId="36" xfId="0" applyNumberFormat="1" applyFont="1" applyBorder="1" applyAlignment="1">
      <alignment horizontal="center"/>
    </xf>
    <xf numFmtId="0" fontId="17" fillId="0" borderId="30" xfId="0" applyFont="1" applyBorder="1" applyAlignment="1"/>
    <xf numFmtId="0" fontId="5" fillId="0" borderId="33" xfId="0" applyFont="1" applyBorder="1" applyAlignment="1"/>
    <xf numFmtId="0" fontId="17" fillId="0" borderId="37" xfId="0" applyFont="1" applyBorder="1" applyAlignment="1"/>
    <xf numFmtId="0" fontId="16" fillId="0" borderId="2" xfId="0" applyFont="1" applyBorder="1"/>
    <xf numFmtId="0" fontId="18" fillId="0" borderId="38" xfId="0" applyFont="1" applyBorder="1" applyAlignment="1">
      <alignment horizontal="center" vertical="center"/>
    </xf>
    <xf numFmtId="49" fontId="19" fillId="0" borderId="39" xfId="0" applyNumberFormat="1" applyFont="1" applyBorder="1" applyAlignment="1">
      <alignment horizontal="center" vertical="center" shrinkToFit="1"/>
    </xf>
    <xf numFmtId="0" fontId="19" fillId="0" borderId="18" xfId="0" applyFont="1" applyBorder="1" applyAlignment="1">
      <alignment horizontal="center" vertical="center" shrinkToFit="1"/>
    </xf>
    <xf numFmtId="0" fontId="19" fillId="0" borderId="40" xfId="0" applyFont="1" applyBorder="1" applyAlignment="1">
      <alignment horizontal="center" vertical="center" shrinkToFit="1"/>
    </xf>
    <xf numFmtId="0" fontId="17" fillId="0" borderId="37" xfId="0" applyFont="1" applyBorder="1" applyAlignment="1">
      <alignment vertical="top"/>
    </xf>
    <xf numFmtId="0" fontId="8" fillId="0" borderId="2" xfId="0" applyFont="1" applyBorder="1" applyAlignment="1">
      <alignment horizontal="center" vertical="center"/>
    </xf>
    <xf numFmtId="2" fontId="19" fillId="0" borderId="39" xfId="0" applyNumberFormat="1" applyFont="1" applyBorder="1" applyAlignment="1">
      <alignment horizontal="center" vertical="center" shrinkToFit="1"/>
    </xf>
    <xf numFmtId="0" fontId="17" fillId="0" borderId="38" xfId="0" applyFont="1" applyBorder="1" applyAlignment="1"/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49" fontId="16" fillId="0" borderId="44" xfId="0" applyNumberFormat="1" applyFont="1" applyBorder="1" applyAlignment="1">
      <alignment horizontal="center"/>
    </xf>
    <xf numFmtId="0" fontId="20" fillId="0" borderId="4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wrapText="1"/>
    </xf>
    <xf numFmtId="0" fontId="17" fillId="0" borderId="36" xfId="0" applyFont="1" applyBorder="1" applyAlignment="1"/>
    <xf numFmtId="0" fontId="17" fillId="0" borderId="27" xfId="0" applyFont="1" applyBorder="1" applyAlignment="1">
      <alignment horizontal="center" wrapText="1"/>
    </xf>
    <xf numFmtId="0" fontId="16" fillId="0" borderId="45" xfId="0" applyFont="1" applyBorder="1" applyAlignment="1"/>
    <xf numFmtId="0" fontId="21" fillId="0" borderId="2" xfId="0" applyFont="1" applyBorder="1" applyAlignment="1"/>
    <xf numFmtId="0" fontId="16" fillId="0" borderId="2" xfId="0" applyFont="1" applyBorder="1" applyAlignment="1"/>
    <xf numFmtId="0" fontId="16" fillId="0" borderId="44" xfId="0" applyFont="1" applyBorder="1" applyAlignment="1"/>
    <xf numFmtId="0" fontId="21" fillId="0" borderId="44" xfId="0" applyFont="1" applyBorder="1" applyAlignment="1"/>
    <xf numFmtId="0" fontId="16" fillId="0" borderId="38" xfId="0" applyFont="1" applyBorder="1" applyAlignment="1"/>
    <xf numFmtId="0" fontId="21" fillId="0" borderId="33" xfId="0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16" fillId="0" borderId="30" xfId="0" applyFont="1" applyBorder="1"/>
    <xf numFmtId="0" fontId="22" fillId="0" borderId="30" xfId="0" applyFont="1" applyBorder="1" applyAlignment="1">
      <alignment horizontal="center"/>
    </xf>
    <xf numFmtId="0" fontId="22" fillId="0" borderId="30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left"/>
    </xf>
    <xf numFmtId="0" fontId="16" fillId="0" borderId="37" xfId="0" applyFont="1" applyBorder="1" applyAlignment="1"/>
    <xf numFmtId="0" fontId="21" fillId="0" borderId="45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5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49" fontId="9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4" fillId="0" borderId="49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49" fontId="1" fillId="0" borderId="47" xfId="0" applyNumberFormat="1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2" fontId="1" fillId="0" borderId="47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49" fontId="2" fillId="0" borderId="52" xfId="0" applyNumberFormat="1" applyFont="1" applyBorder="1" applyAlignment="1">
      <alignment horizontal="center" vertical="center"/>
    </xf>
    <xf numFmtId="2" fontId="9" fillId="0" borderId="3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 textRotation="90"/>
    </xf>
    <xf numFmtId="0" fontId="1" fillId="0" borderId="54" xfId="0" applyFont="1" applyBorder="1" applyAlignment="1">
      <alignment horizontal="center" vertical="center"/>
    </xf>
    <xf numFmtId="0" fontId="17" fillId="0" borderId="36" xfId="0" applyFont="1" applyBorder="1"/>
    <xf numFmtId="0" fontId="17" fillId="0" borderId="37" xfId="0" applyFont="1" applyBorder="1"/>
    <xf numFmtId="0" fontId="17" fillId="0" borderId="0" xfId="0" applyFont="1" applyBorder="1"/>
    <xf numFmtId="0" fontId="17" fillId="0" borderId="2" xfId="0" applyFont="1" applyBorder="1"/>
    <xf numFmtId="0" fontId="17" fillId="0" borderId="0" xfId="0" applyFont="1" applyBorder="1" applyAlignment="1"/>
    <xf numFmtId="0" fontId="23" fillId="0" borderId="0" xfId="0" applyFont="1" applyBorder="1" applyAlignment="1">
      <alignment horizontal="center"/>
    </xf>
    <xf numFmtId="0" fontId="17" fillId="0" borderId="38" xfId="0" applyFont="1" applyBorder="1"/>
    <xf numFmtId="0" fontId="17" fillId="0" borderId="11" xfId="0" applyFont="1" applyBorder="1"/>
    <xf numFmtId="0" fontId="17" fillId="0" borderId="11" xfId="0" applyFont="1" applyBorder="1" applyAlignment="1"/>
    <xf numFmtId="0" fontId="17" fillId="0" borderId="11" xfId="0" applyFont="1" applyBorder="1" applyAlignment="1">
      <alignment horizontal="right"/>
    </xf>
    <xf numFmtId="0" fontId="17" fillId="0" borderId="41" xfId="0" applyFont="1" applyBorder="1"/>
    <xf numFmtId="0" fontId="8" fillId="0" borderId="34" xfId="0" applyFont="1" applyBorder="1" applyAlignment="1">
      <alignment vertical="center"/>
    </xf>
    <xf numFmtId="0" fontId="17" fillId="0" borderId="34" xfId="0" applyFont="1" applyBorder="1" applyAlignment="1">
      <alignment horizontal="left" vertical="center"/>
    </xf>
    <xf numFmtId="0" fontId="17" fillId="0" borderId="34" xfId="0" applyFont="1" applyBorder="1" applyAlignment="1"/>
    <xf numFmtId="0" fontId="24" fillId="0" borderId="0" xfId="0" applyFont="1" applyAlignment="1">
      <alignment horizontal="center"/>
    </xf>
    <xf numFmtId="0" fontId="12" fillId="0" borderId="30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top" wrapText="1"/>
    </xf>
    <xf numFmtId="0" fontId="12" fillId="0" borderId="56" xfId="0" applyFont="1" applyBorder="1" applyAlignment="1">
      <alignment horizontal="left" vertical="top" wrapText="1"/>
    </xf>
    <xf numFmtId="0" fontId="12" fillId="0" borderId="56" xfId="0" applyFont="1" applyBorder="1" applyAlignment="1">
      <alignment horizontal="center" vertical="top" wrapText="1"/>
    </xf>
    <xf numFmtId="0" fontId="12" fillId="0" borderId="57" xfId="0" applyFont="1" applyBorder="1" applyAlignment="1">
      <alignment horizontal="center" vertical="top" wrapText="1"/>
    </xf>
    <xf numFmtId="0" fontId="12" fillId="0" borderId="39" xfId="0" applyFont="1" applyBorder="1" applyAlignment="1">
      <alignment horizontal="center" vertical="top"/>
    </xf>
    <xf numFmtId="0" fontId="12" fillId="0" borderId="24" xfId="0" applyFont="1" applyBorder="1" applyAlignment="1">
      <alignment horizontal="center" vertical="top"/>
    </xf>
    <xf numFmtId="0" fontId="12" fillId="0" borderId="58" xfId="0" applyFont="1" applyBorder="1" applyAlignment="1">
      <alignment vertical="top"/>
    </xf>
    <xf numFmtId="0" fontId="12" fillId="0" borderId="40" xfId="0" applyFont="1" applyBorder="1" applyAlignment="1">
      <alignment vertical="top"/>
    </xf>
    <xf numFmtId="0" fontId="25" fillId="3" borderId="52" xfId="0" applyFont="1" applyFill="1" applyBorder="1" applyAlignment="1">
      <alignment horizontal="center" wrapText="1"/>
    </xf>
    <xf numFmtId="0" fontId="26" fillId="12" borderId="53" xfId="0" applyFont="1" applyFill="1" applyBorder="1" applyAlignment="1">
      <alignment horizontal="center" vertical="top" wrapText="1"/>
    </xf>
    <xf numFmtId="0" fontId="24" fillId="12" borderId="4" xfId="0" applyFont="1" applyFill="1" applyBorder="1" applyAlignment="1">
      <alignment horizontal="center" vertical="top"/>
    </xf>
    <xf numFmtId="0" fontId="24" fillId="12" borderId="4" xfId="0" applyFont="1" applyFill="1" applyBorder="1" applyAlignment="1">
      <alignment horizontal="center" vertical="center"/>
    </xf>
    <xf numFmtId="49" fontId="9" fillId="12" borderId="4" xfId="0" applyNumberFormat="1" applyFont="1" applyFill="1" applyBorder="1" applyAlignment="1" applyProtection="1">
      <alignment horizontal="center" vertical="center"/>
      <protection locked="0"/>
    </xf>
    <xf numFmtId="49" fontId="14" fillId="12" borderId="4" xfId="0" applyNumberFormat="1" applyFont="1" applyFill="1" applyBorder="1" applyAlignment="1" applyProtection="1">
      <alignment horizontal="center"/>
      <protection locked="0"/>
    </xf>
    <xf numFmtId="0" fontId="24" fillId="12" borderId="59" xfId="0" applyFont="1" applyFill="1" applyBorder="1" applyAlignment="1">
      <alignment horizontal="center" vertical="top"/>
    </xf>
    <xf numFmtId="0" fontId="24" fillId="0" borderId="53" xfId="0" applyFont="1" applyBorder="1" applyAlignment="1">
      <alignment horizontal="center" vertical="top"/>
    </xf>
    <xf numFmtId="0" fontId="24" fillId="0" borderId="4" xfId="0" applyFont="1" applyBorder="1" applyAlignment="1">
      <alignment horizontal="center" vertical="top"/>
    </xf>
    <xf numFmtId="0" fontId="24" fillId="0" borderId="4" xfId="0" applyFont="1" applyBorder="1" applyAlignment="1">
      <alignment horizontal="center" vertical="center"/>
    </xf>
    <xf numFmtId="49" fontId="9" fillId="3" borderId="29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49" fontId="14" fillId="3" borderId="5" xfId="0" applyNumberFormat="1" applyFont="1" applyFill="1" applyBorder="1" applyAlignment="1" applyProtection="1">
      <alignment horizontal="center"/>
      <protection locked="0"/>
    </xf>
    <xf numFmtId="0" fontId="24" fillId="0" borderId="59" xfId="0" applyFont="1" applyBorder="1" applyAlignment="1">
      <alignment horizontal="center" vertical="top"/>
    </xf>
    <xf numFmtId="49" fontId="9" fillId="3" borderId="4" xfId="0" applyNumberFormat="1" applyFont="1" applyFill="1" applyBorder="1" applyAlignment="1" applyProtection="1">
      <alignment horizontal="center" vertical="center"/>
      <protection locked="0"/>
    </xf>
    <xf numFmtId="49" fontId="14" fillId="3" borderId="4" xfId="0" applyNumberFormat="1" applyFont="1" applyFill="1" applyBorder="1" applyAlignment="1" applyProtection="1">
      <alignment horizontal="center"/>
      <protection locked="0"/>
    </xf>
    <xf numFmtId="0" fontId="24" fillId="12" borderId="53" xfId="0" applyFont="1" applyFill="1" applyBorder="1" applyAlignment="1">
      <alignment horizontal="center" vertical="top"/>
    </xf>
    <xf numFmtId="49" fontId="9" fillId="0" borderId="4" xfId="0" applyNumberFormat="1" applyFont="1" applyBorder="1" applyAlignment="1">
      <alignment horizontal="center" vertical="center"/>
    </xf>
    <xf numFmtId="49" fontId="9" fillId="12" borderId="4" xfId="0" applyNumberFormat="1" applyFont="1" applyFill="1" applyBorder="1" applyAlignment="1" applyProtection="1">
      <alignment horizontal="center"/>
      <protection locked="0"/>
    </xf>
    <xf numFmtId="49" fontId="9" fillId="12" borderId="4" xfId="0" applyNumberFormat="1" applyFont="1" applyFill="1" applyBorder="1" applyAlignment="1">
      <alignment horizontal="center" vertical="center"/>
    </xf>
    <xf numFmtId="49" fontId="14" fillId="12" borderId="4" xfId="0" applyNumberFormat="1" applyFont="1" applyFill="1" applyBorder="1" applyAlignment="1">
      <alignment horizontal="center"/>
    </xf>
    <xf numFmtId="49" fontId="14" fillId="3" borderId="4" xfId="0" applyNumberFormat="1" applyFont="1" applyFill="1" applyBorder="1" applyAlignment="1">
      <alignment horizontal="center"/>
    </xf>
    <xf numFmtId="49" fontId="9" fillId="12" borderId="4" xfId="0" applyNumberFormat="1" applyFont="1" applyFill="1" applyBorder="1" applyAlignment="1">
      <alignment horizontal="center"/>
    </xf>
    <xf numFmtId="49" fontId="14" fillId="0" borderId="4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0" fillId="7" borderId="0" xfId="0" applyFont="1" applyFill="1" applyAlignment="1">
      <alignment horizontal="right"/>
    </xf>
    <xf numFmtId="0" fontId="0" fillId="5" borderId="0" xfId="0" applyFont="1" applyFill="1" applyAlignment="1">
      <alignment horizontal="right"/>
    </xf>
    <xf numFmtId="0" fontId="0" fillId="6" borderId="0" xfId="0" applyFont="1" applyFill="1" applyAlignment="1">
      <alignment horizontal="right"/>
    </xf>
    <xf numFmtId="0" fontId="27" fillId="0" borderId="0" xfId="0" applyFont="1" applyAlignment="1">
      <alignment horizontal="right"/>
    </xf>
    <xf numFmtId="0" fontId="27" fillId="5" borderId="0" xfId="0" applyFont="1" applyFill="1" applyAlignment="1">
      <alignment horizontal="right"/>
    </xf>
    <xf numFmtId="0" fontId="0" fillId="9" borderId="0" xfId="0" applyFont="1" applyFill="1" applyAlignment="1">
      <alignment horizontal="right"/>
    </xf>
    <xf numFmtId="0" fontId="28" fillId="0" borderId="0" xfId="0" applyFont="1" applyAlignment="1">
      <alignment horizontal="right"/>
    </xf>
    <xf numFmtId="0" fontId="0" fillId="4" borderId="0" xfId="0" applyFont="1" applyFill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 applyFont="1"/>
    <xf numFmtId="0" fontId="4" fillId="2" borderId="1" xfId="1" applyFont="1" applyProtection="1"/>
    <xf numFmtId="0" fontId="1" fillId="13" borderId="4" xfId="1" applyFont="1" applyFill="1" applyBorder="1" applyAlignment="1" applyProtection="1">
      <alignment horizontal="center" vertical="center"/>
      <protection locked="0"/>
    </xf>
    <xf numFmtId="49" fontId="1" fillId="13" borderId="4" xfId="1" applyNumberFormat="1" applyFont="1" applyFill="1" applyBorder="1" applyAlignment="1" applyProtection="1">
      <alignment horizontal="center" vertical="center"/>
      <protection locked="0"/>
    </xf>
    <xf numFmtId="0" fontId="1" fillId="13" borderId="4" xfId="1" applyFont="1" applyFill="1" applyBorder="1" applyAlignment="1" applyProtection="1">
      <alignment horizontal="center" vertical="center"/>
    </xf>
    <xf numFmtId="49" fontId="1" fillId="14" borderId="4" xfId="1" applyNumberFormat="1" applyFont="1" applyFill="1" applyBorder="1" applyAlignment="1" applyProtection="1">
      <alignment horizontal="center" vertical="center"/>
      <protection locked="0"/>
    </xf>
    <xf numFmtId="0" fontId="1" fillId="14" borderId="4" xfId="1" applyFont="1" applyFill="1" applyBorder="1" applyAlignment="1" applyProtection="1">
      <alignment horizontal="center" vertical="center"/>
    </xf>
    <xf numFmtId="0" fontId="1" fillId="13" borderId="6" xfId="1" applyFont="1" applyFill="1" applyBorder="1" applyAlignment="1" applyProtection="1">
      <alignment horizontal="center" vertical="center"/>
      <protection locked="0"/>
    </xf>
    <xf numFmtId="49" fontId="1" fillId="13" borderId="6" xfId="1" applyNumberFormat="1" applyFont="1" applyFill="1" applyBorder="1" applyAlignment="1" applyProtection="1">
      <alignment horizontal="center" vertical="center"/>
      <protection locked="0"/>
    </xf>
    <xf numFmtId="0" fontId="1" fillId="13" borderId="6" xfId="1" applyFont="1" applyFill="1" applyBorder="1" applyAlignment="1" applyProtection="1">
      <alignment horizontal="center" vertical="center"/>
    </xf>
    <xf numFmtId="0" fontId="1" fillId="13" borderId="4" xfId="1" applyFont="1" applyFill="1" applyBorder="1" applyAlignment="1" applyProtection="1">
      <alignment horizontal="center"/>
      <protection locked="0"/>
    </xf>
    <xf numFmtId="49" fontId="1" fillId="13" borderId="4" xfId="1" applyNumberFormat="1" applyFont="1" applyFill="1" applyBorder="1" applyAlignment="1" applyProtection="1">
      <alignment horizontal="center"/>
      <protection locked="0"/>
    </xf>
    <xf numFmtId="0" fontId="1" fillId="13" borderId="4" xfId="1" applyFont="1" applyFill="1" applyBorder="1" applyAlignment="1" applyProtection="1">
      <alignment horizontal="center"/>
    </xf>
    <xf numFmtId="49" fontId="1" fillId="13" borderId="4" xfId="1" applyNumberFormat="1" applyFont="1" applyFill="1" applyBorder="1" applyAlignment="1" applyProtection="1">
      <alignment horizontal="center"/>
    </xf>
    <xf numFmtId="0" fontId="1" fillId="13" borderId="4" xfId="0" applyFont="1" applyFill="1" applyBorder="1" applyAlignment="1">
      <alignment horizontal="center" vertical="center"/>
    </xf>
    <xf numFmtId="49" fontId="1" fillId="13" borderId="4" xfId="1" applyNumberFormat="1" applyFont="1" applyFill="1" applyBorder="1" applyAlignment="1" applyProtection="1">
      <alignment horizontal="center" vertical="center"/>
    </xf>
    <xf numFmtId="0" fontId="1" fillId="17" borderId="4" xfId="1" applyFont="1" applyFill="1" applyBorder="1" applyAlignment="1" applyProtection="1">
      <alignment horizontal="center" vertical="center"/>
      <protection locked="0"/>
    </xf>
    <xf numFmtId="0" fontId="1" fillId="17" borderId="4" xfId="0" applyFont="1" applyFill="1" applyBorder="1" applyAlignment="1">
      <alignment horizontal="center" vertical="center"/>
    </xf>
    <xf numFmtId="0" fontId="1" fillId="17" borderId="4" xfId="1" applyFont="1" applyFill="1" applyBorder="1" applyAlignment="1" applyProtection="1">
      <alignment horizontal="center" vertical="center"/>
    </xf>
    <xf numFmtId="49" fontId="1" fillId="17" borderId="4" xfId="1" applyNumberFormat="1" applyFont="1" applyFill="1" applyBorder="1" applyAlignment="1" applyProtection="1">
      <alignment horizontal="center" vertical="center"/>
      <protection locked="0"/>
    </xf>
    <xf numFmtId="49" fontId="1" fillId="3" borderId="0" xfId="1" applyNumberFormat="1" applyFont="1" applyFill="1" applyBorder="1" applyAlignment="1" applyProtection="1">
      <alignment horizontal="center" vertical="center"/>
    </xf>
    <xf numFmtId="49" fontId="1" fillId="3" borderId="29" xfId="1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textRotation="45"/>
    </xf>
    <xf numFmtId="49" fontId="1" fillId="18" borderId="4" xfId="1" applyNumberFormat="1" applyFont="1" applyFill="1" applyBorder="1" applyAlignment="1" applyProtection="1">
      <alignment horizontal="center" vertical="center"/>
    </xf>
    <xf numFmtId="49" fontId="1" fillId="18" borderId="4" xfId="1" applyNumberFormat="1" applyFont="1" applyFill="1" applyBorder="1" applyAlignment="1" applyProtection="1">
      <alignment horizontal="left" vertical="center"/>
    </xf>
    <xf numFmtId="49" fontId="1" fillId="16" borderId="4" xfId="1" applyNumberFormat="1" applyFont="1" applyFill="1" applyBorder="1" applyAlignment="1" applyProtection="1">
      <alignment horizontal="center" vertical="center"/>
    </xf>
    <xf numFmtId="0" fontId="1" fillId="17" borderId="4" xfId="1" applyFont="1" applyFill="1" applyBorder="1" applyAlignment="1" applyProtection="1">
      <alignment horizontal="center"/>
    </xf>
    <xf numFmtId="49" fontId="1" fillId="17" borderId="4" xfId="1" applyNumberFormat="1" applyFont="1" applyFill="1" applyBorder="1" applyAlignment="1" applyProtection="1">
      <alignment horizontal="center"/>
    </xf>
    <xf numFmtId="49" fontId="1" fillId="17" borderId="4" xfId="1" applyNumberFormat="1" applyFont="1" applyFill="1" applyBorder="1" applyAlignment="1" applyProtection="1">
      <alignment horizontal="center" vertical="center"/>
    </xf>
    <xf numFmtId="0" fontId="1" fillId="17" borderId="6" xfId="1" applyFont="1" applyFill="1" applyBorder="1" applyAlignment="1" applyProtection="1">
      <alignment horizontal="center"/>
    </xf>
    <xf numFmtId="0" fontId="1" fillId="17" borderId="6" xfId="1" applyFont="1" applyFill="1" applyBorder="1" applyAlignment="1" applyProtection="1">
      <alignment horizontal="center" vertical="center"/>
    </xf>
    <xf numFmtId="49" fontId="1" fillId="17" borderId="6" xfId="1" applyNumberFormat="1" applyFont="1" applyFill="1" applyBorder="1" applyAlignment="1" applyProtection="1">
      <alignment horizontal="center" vertical="center"/>
    </xf>
    <xf numFmtId="0" fontId="1" fillId="17" borderId="4" xfId="1" applyFont="1" applyFill="1" applyBorder="1" applyAlignment="1" applyProtection="1">
      <alignment horizontal="center"/>
      <protection locked="0"/>
    </xf>
    <xf numFmtId="49" fontId="1" fillId="17" borderId="4" xfId="1" applyNumberFormat="1" applyFont="1" applyFill="1" applyBorder="1" applyAlignment="1" applyProtection="1">
      <alignment horizontal="center"/>
      <protection locked="0"/>
    </xf>
    <xf numFmtId="0" fontId="1" fillId="20" borderId="4" xfId="1" applyFont="1" applyFill="1" applyBorder="1" applyAlignment="1" applyProtection="1">
      <alignment horizontal="center" vertical="center"/>
      <protection locked="0"/>
    </xf>
    <xf numFmtId="49" fontId="1" fillId="20" borderId="4" xfId="1" applyNumberFormat="1" applyFont="1" applyFill="1" applyBorder="1" applyAlignment="1" applyProtection="1">
      <alignment horizontal="center" vertical="center"/>
      <protection locked="0"/>
    </xf>
    <xf numFmtId="0" fontId="1" fillId="20" borderId="4" xfId="1" applyFont="1" applyFill="1" applyBorder="1" applyAlignment="1" applyProtection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49" fontId="1" fillId="20" borderId="4" xfId="1" applyNumberFormat="1" applyFont="1" applyFill="1" applyBorder="1" applyAlignment="1" applyProtection="1">
      <alignment horizontal="center" vertical="center"/>
    </xf>
    <xf numFmtId="0" fontId="30" fillId="0" borderId="4" xfId="0" applyFont="1" applyBorder="1"/>
    <xf numFmtId="49" fontId="1" fillId="20" borderId="6" xfId="1" applyNumberFormat="1" applyFont="1" applyFill="1" applyBorder="1" applyAlignment="1" applyProtection="1">
      <alignment horizontal="center" vertical="center"/>
      <protection locked="0"/>
    </xf>
    <xf numFmtId="49" fontId="1" fillId="18" borderId="4" xfId="1" applyNumberFormat="1" applyFont="1" applyFill="1" applyBorder="1" applyAlignment="1" applyProtection="1">
      <alignment horizontal="center" vertical="center"/>
      <protection locked="0"/>
    </xf>
    <xf numFmtId="49" fontId="5" fillId="17" borderId="4" xfId="1" applyNumberFormat="1" applyFont="1" applyFill="1" applyBorder="1" applyAlignment="1" applyProtection="1">
      <alignment horizontal="center"/>
    </xf>
    <xf numFmtId="0" fontId="29" fillId="0" borderId="4" xfId="0" applyFont="1" applyBorder="1"/>
    <xf numFmtId="49" fontId="1" fillId="22" borderId="4" xfId="1" applyNumberFormat="1" applyFont="1" applyFill="1" applyBorder="1" applyAlignment="1" applyProtection="1">
      <alignment horizontal="center" vertical="center"/>
      <protection locked="0"/>
    </xf>
    <xf numFmtId="0" fontId="1" fillId="22" borderId="4" xfId="1" applyFont="1" applyFill="1" applyBorder="1" applyAlignment="1" applyProtection="1">
      <alignment horizontal="center" vertical="center"/>
    </xf>
    <xf numFmtId="0" fontId="1" fillId="14" borderId="4" xfId="1" applyFont="1" applyFill="1" applyBorder="1" applyAlignment="1" applyProtection="1">
      <alignment horizontal="center"/>
      <protection locked="0"/>
    </xf>
    <xf numFmtId="49" fontId="1" fillId="17" borderId="6" xfId="1" applyNumberFormat="1" applyFont="1" applyFill="1" applyBorder="1" applyAlignment="1" applyProtection="1">
      <alignment horizontal="center" vertical="center"/>
      <protection locked="0"/>
    </xf>
    <xf numFmtId="0" fontId="1" fillId="22" borderId="4" xfId="0" applyFont="1" applyFill="1" applyBorder="1" applyAlignment="1">
      <alignment horizontal="center" vertical="center"/>
    </xf>
    <xf numFmtId="49" fontId="1" fillId="17" borderId="6" xfId="1" applyNumberFormat="1" applyFont="1" applyFill="1" applyBorder="1" applyAlignment="1" applyProtection="1">
      <alignment horizontal="center"/>
    </xf>
    <xf numFmtId="0" fontId="5" fillId="17" borderId="4" xfId="1" applyFont="1" applyFill="1" applyBorder="1" applyAlignment="1" applyProtection="1">
      <alignment horizontal="center"/>
    </xf>
    <xf numFmtId="0" fontId="29" fillId="0" borderId="4" xfId="0" applyFont="1" applyBorder="1" applyAlignment="1">
      <alignment horizontal="center"/>
    </xf>
    <xf numFmtId="49" fontId="29" fillId="0" borderId="4" xfId="0" applyNumberFormat="1" applyFont="1" applyBorder="1" applyAlignment="1">
      <alignment horizontal="center"/>
    </xf>
    <xf numFmtId="49" fontId="1" fillId="3" borderId="58" xfId="1" applyNumberFormat="1" applyFont="1" applyFill="1" applyBorder="1" applyAlignment="1" applyProtection="1">
      <alignment horizontal="center"/>
    </xf>
    <xf numFmtId="0" fontId="1" fillId="22" borderId="4" xfId="1" applyFont="1" applyFill="1" applyBorder="1" applyAlignment="1" applyProtection="1">
      <alignment horizontal="center"/>
    </xf>
    <xf numFmtId="49" fontId="1" fillId="22" borderId="4" xfId="1" applyNumberFormat="1" applyFont="1" applyFill="1" applyBorder="1" applyAlignment="1" applyProtection="1">
      <alignment horizontal="center" vertical="center"/>
    </xf>
    <xf numFmtId="0" fontId="1" fillId="22" borderId="4" xfId="1" applyFont="1" applyFill="1" applyBorder="1" applyAlignment="1" applyProtection="1">
      <alignment horizontal="center" vertical="center"/>
      <protection locked="0"/>
    </xf>
    <xf numFmtId="0" fontId="1" fillId="14" borderId="4" xfId="1" applyFont="1" applyFill="1" applyBorder="1" applyAlignment="1" applyProtection="1">
      <alignment horizontal="center"/>
    </xf>
    <xf numFmtId="49" fontId="1" fillId="14" borderId="4" xfId="1" applyNumberFormat="1" applyFont="1" applyFill="1" applyBorder="1" applyAlignment="1" applyProtection="1">
      <alignment horizontal="center"/>
    </xf>
    <xf numFmtId="0" fontId="1" fillId="24" borderId="4" xfId="1" applyFont="1" applyFill="1" applyBorder="1" applyAlignment="1" applyProtection="1">
      <alignment horizontal="center"/>
    </xf>
    <xf numFmtId="49" fontId="1" fillId="24" borderId="4" xfId="1" applyNumberFormat="1" applyFont="1" applyFill="1" applyBorder="1" applyAlignment="1" applyProtection="1">
      <alignment horizontal="center"/>
    </xf>
    <xf numFmtId="49" fontId="1" fillId="24" borderId="4" xfId="1" applyNumberFormat="1" applyFont="1" applyFill="1" applyBorder="1" applyAlignment="1" applyProtection="1">
      <alignment horizontal="center" vertical="center"/>
      <protection locked="0"/>
    </xf>
    <xf numFmtId="49" fontId="1" fillId="3" borderId="0" xfId="1" applyNumberFormat="1" applyFont="1" applyFill="1" applyBorder="1" applyAlignment="1" applyProtection="1">
      <alignment horizontal="center" vertical="center"/>
      <protection locked="0"/>
    </xf>
    <xf numFmtId="49" fontId="1" fillId="0" borderId="0" xfId="1" applyNumberFormat="1" applyFont="1" applyFill="1" applyBorder="1" applyAlignment="1" applyProtection="1">
      <alignment horizontal="center" vertical="center"/>
      <protection locked="0"/>
    </xf>
    <xf numFmtId="49" fontId="1" fillId="0" borderId="0" xfId="1" applyNumberFormat="1" applyFont="1" applyFill="1" applyBorder="1" applyAlignment="1" applyProtection="1">
      <alignment horizontal="center" vertical="center"/>
    </xf>
    <xf numFmtId="164" fontId="1" fillId="0" borderId="0" xfId="1" applyNumberFormat="1" applyFont="1" applyFill="1" applyBorder="1" applyAlignment="1" applyProtection="1">
      <alignment horizontal="center" vertical="center"/>
    </xf>
    <xf numFmtId="0" fontId="1" fillId="5" borderId="0" xfId="1" applyFont="1" applyFill="1" applyBorder="1" applyAlignment="1" applyProtection="1">
      <alignment horizontal="center" vertical="center"/>
    </xf>
    <xf numFmtId="0" fontId="1" fillId="0" borderId="0" xfId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0" xfId="1" applyFont="1" applyFill="1" applyBorder="1" applyAlignment="1" applyProtection="1">
      <alignment horizontal="center" vertical="center"/>
    </xf>
    <xf numFmtId="49" fontId="1" fillId="0" borderId="0" xfId="1" applyNumberFormat="1" applyFont="1" applyFill="1" applyBorder="1" applyAlignment="1" applyProtection="1">
      <alignment horizontal="center"/>
    </xf>
    <xf numFmtId="49" fontId="1" fillId="3" borderId="0" xfId="1" applyNumberFormat="1" applyFont="1" applyFill="1" applyBorder="1" applyAlignment="1" applyProtection="1">
      <alignment horizontal="center"/>
    </xf>
    <xf numFmtId="49" fontId="0" fillId="0" borderId="0" xfId="0" applyNumberFormat="1" applyBorder="1"/>
    <xf numFmtId="0" fontId="0" fillId="0" borderId="0" xfId="0" applyBorder="1"/>
    <xf numFmtId="49" fontId="5" fillId="3" borderId="6" xfId="1" applyNumberFormat="1" applyFont="1" applyFill="1" applyBorder="1" applyAlignment="1" applyProtection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/>
      <protection locked="0"/>
    </xf>
    <xf numFmtId="164" fontId="5" fillId="0" borderId="6" xfId="1" applyNumberFormat="1" applyFont="1" applyFill="1" applyBorder="1" applyAlignment="1" applyProtection="1">
      <alignment horizontal="center" vertical="center"/>
    </xf>
    <xf numFmtId="164" fontId="1" fillId="3" borderId="0" xfId="1" applyNumberFormat="1" applyFont="1" applyFill="1" applyBorder="1" applyAlignment="1" applyProtection="1">
      <alignment horizontal="center" vertical="center"/>
    </xf>
    <xf numFmtId="0" fontId="1" fillId="20" borderId="6" xfId="1" applyFont="1" applyFill="1" applyBorder="1" applyAlignment="1" applyProtection="1">
      <alignment horizontal="center" vertical="center"/>
    </xf>
    <xf numFmtId="0" fontId="1" fillId="17" borderId="8" xfId="1" applyFont="1" applyFill="1" applyBorder="1" applyAlignment="1" applyProtection="1">
      <alignment horizontal="center" vertical="center"/>
    </xf>
    <xf numFmtId="0" fontId="1" fillId="4" borderId="6" xfId="1" applyFont="1" applyFill="1" applyBorder="1" applyAlignment="1" applyProtection="1">
      <alignment horizontal="center" vertical="center"/>
      <protection locked="0"/>
    </xf>
    <xf numFmtId="49" fontId="1" fillId="20" borderId="6" xfId="1" applyNumberFormat="1" applyFont="1" applyFill="1" applyBorder="1" applyAlignment="1" applyProtection="1">
      <alignment horizontal="center" vertical="center"/>
    </xf>
    <xf numFmtId="49" fontId="1" fillId="17" borderId="8" xfId="1" applyNumberFormat="1" applyFont="1" applyFill="1" applyBorder="1" applyAlignment="1" applyProtection="1">
      <alignment horizontal="center" vertical="center"/>
    </xf>
    <xf numFmtId="49" fontId="1" fillId="4" borderId="6" xfId="1" applyNumberFormat="1" applyFont="1" applyFill="1" applyBorder="1" applyAlignment="1" applyProtection="1">
      <alignment horizontal="center" vertical="center"/>
      <protection locked="0"/>
    </xf>
    <xf numFmtId="49" fontId="1" fillId="5" borderId="4" xfId="0" applyNumberFormat="1" applyFont="1" applyFill="1" applyBorder="1" applyAlignment="1">
      <alignment horizontal="center" vertical="center"/>
    </xf>
    <xf numFmtId="0" fontId="1" fillId="17" borderId="14" xfId="1" applyFont="1" applyFill="1" applyBorder="1" applyAlignment="1" applyProtection="1">
      <alignment horizontal="center" vertical="center"/>
    </xf>
    <xf numFmtId="0" fontId="1" fillId="4" borderId="6" xfId="1" applyFont="1" applyFill="1" applyBorder="1" applyAlignment="1" applyProtection="1">
      <alignment horizontal="center" vertical="center"/>
    </xf>
    <xf numFmtId="49" fontId="5" fillId="0" borderId="0" xfId="1" applyNumberFormat="1" applyFont="1" applyFill="1" applyBorder="1" applyAlignment="1" applyProtection="1">
      <alignment horizontal="center" vertical="center"/>
    </xf>
    <xf numFmtId="49" fontId="30" fillId="0" borderId="0" xfId="0" applyNumberFormat="1" applyFont="1" applyBorder="1" applyAlignment="1">
      <alignment horizontal="center"/>
    </xf>
    <xf numFmtId="49" fontId="5" fillId="3" borderId="0" xfId="1" applyNumberFormat="1" applyFont="1" applyFill="1" applyBorder="1" applyAlignment="1" applyProtection="1">
      <alignment horizontal="center" vertical="center"/>
    </xf>
    <xf numFmtId="0" fontId="29" fillId="0" borderId="0" xfId="0" applyFont="1" applyBorder="1"/>
    <xf numFmtId="49" fontId="1" fillId="16" borderId="4" xfId="1" applyNumberFormat="1" applyFont="1" applyFill="1" applyBorder="1" applyAlignment="1" applyProtection="1">
      <alignment vertical="center"/>
      <protection locked="0"/>
    </xf>
    <xf numFmtId="0" fontId="0" fillId="16" borderId="4" xfId="0" applyFill="1" applyBorder="1"/>
    <xf numFmtId="49" fontId="1" fillId="18" borderId="4" xfId="0" applyNumberFormat="1" applyFont="1" applyFill="1" applyBorder="1" applyAlignment="1">
      <alignment horizontal="center" vertical="center"/>
    </xf>
    <xf numFmtId="49" fontId="1" fillId="16" borderId="4" xfId="1" applyNumberFormat="1" applyFont="1" applyFill="1" applyBorder="1" applyAlignment="1" applyProtection="1"/>
    <xf numFmtId="49" fontId="4" fillId="3" borderId="0" xfId="1" applyNumberFormat="1" applyFill="1" applyBorder="1" applyAlignment="1" applyProtection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1" xfId="0" applyBorder="1"/>
    <xf numFmtId="0" fontId="1" fillId="20" borderId="6" xfId="0" applyFont="1" applyFill="1" applyBorder="1" applyAlignment="1">
      <alignment horizontal="center" vertical="center"/>
    </xf>
    <xf numFmtId="0" fontId="1" fillId="20" borderId="4" xfId="1" applyFont="1" applyFill="1" applyBorder="1" applyAlignment="1" applyProtection="1">
      <alignment horizontal="center"/>
      <protection locked="0"/>
    </xf>
    <xf numFmtId="49" fontId="5" fillId="5" borderId="0" xfId="1" applyNumberFormat="1" applyFont="1" applyFill="1" applyBorder="1" applyAlignment="1" applyProtection="1">
      <alignment horizontal="center" vertical="center"/>
    </xf>
    <xf numFmtId="49" fontId="1" fillId="20" borderId="4" xfId="1" applyNumberFormat="1" applyFont="1" applyFill="1" applyBorder="1" applyAlignment="1" applyProtection="1">
      <alignment horizontal="center"/>
      <protection locked="0"/>
    </xf>
    <xf numFmtId="0" fontId="5" fillId="5" borderId="0" xfId="1" applyFont="1" applyFill="1" applyBorder="1" applyAlignment="1" applyProtection="1">
      <alignment horizontal="center" vertical="center"/>
    </xf>
    <xf numFmtId="0" fontId="1" fillId="21" borderId="6" xfId="1" applyFont="1" applyFill="1" applyBorder="1" applyAlignment="1" applyProtection="1">
      <alignment horizontal="center" vertical="center"/>
    </xf>
    <xf numFmtId="49" fontId="5" fillId="0" borderId="0" xfId="1" applyNumberFormat="1" applyFont="1" applyFill="1" applyBorder="1" applyAlignment="1" applyProtection="1">
      <alignment horizontal="left" vertical="center"/>
    </xf>
    <xf numFmtId="49" fontId="1" fillId="3" borderId="11" xfId="1" applyNumberFormat="1" applyFont="1" applyFill="1" applyBorder="1" applyAlignment="1" applyProtection="1">
      <alignment horizontal="center"/>
    </xf>
    <xf numFmtId="49" fontId="1" fillId="18" borderId="6" xfId="1" applyNumberFormat="1" applyFont="1" applyFill="1" applyBorder="1" applyAlignment="1" applyProtection="1">
      <alignment horizontal="center" vertical="center"/>
    </xf>
    <xf numFmtId="49" fontId="1" fillId="3" borderId="29" xfId="1" applyNumberFormat="1" applyFont="1" applyFill="1" applyBorder="1" applyAlignment="1" applyProtection="1">
      <alignment horizontal="center"/>
    </xf>
    <xf numFmtId="49" fontId="1" fillId="3" borderId="29" xfId="1" applyNumberFormat="1" applyFont="1" applyFill="1" applyBorder="1" applyAlignment="1" applyProtection="1">
      <alignment horizontal="center" vertical="center"/>
      <protection locked="0"/>
    </xf>
    <xf numFmtId="0" fontId="0" fillId="16" borderId="0" xfId="0" applyFill="1" applyBorder="1"/>
    <xf numFmtId="49" fontId="1" fillId="0" borderId="60" xfId="1" applyNumberFormat="1" applyFont="1" applyFill="1" applyBorder="1" applyAlignment="1" applyProtection="1">
      <alignment horizontal="center" vertical="center"/>
      <protection locked="0"/>
    </xf>
    <xf numFmtId="49" fontId="1" fillId="3" borderId="60" xfId="1" applyNumberFormat="1" applyFont="1" applyFill="1" applyBorder="1" applyAlignment="1" applyProtection="1">
      <alignment horizontal="center" vertical="center"/>
      <protection locked="0"/>
    </xf>
    <xf numFmtId="0" fontId="1" fillId="0" borderId="60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horizontal="center" vertical="center"/>
    </xf>
    <xf numFmtId="0" fontId="5" fillId="0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49" fontId="1" fillId="0" borderId="1" xfId="1" applyNumberFormat="1" applyFont="1" applyFill="1" applyBorder="1" applyAlignment="1" applyProtection="1">
      <alignment horizontal="center"/>
    </xf>
    <xf numFmtId="49" fontId="5" fillId="0" borderId="1" xfId="1" applyNumberFormat="1" applyFont="1" applyFill="1" applyBorder="1" applyAlignment="1" applyProtection="1">
      <alignment horizontal="center" vertical="center"/>
    </xf>
    <xf numFmtId="49" fontId="4" fillId="3" borderId="1" xfId="1" applyNumberFormat="1" applyFill="1" applyBorder="1" applyAlignment="1" applyProtection="1">
      <alignment horizontal="center" vertical="center"/>
    </xf>
    <xf numFmtId="49" fontId="5" fillId="3" borderId="1" xfId="1" applyNumberFormat="1" applyFont="1" applyFill="1" applyBorder="1" applyAlignment="1" applyProtection="1">
      <alignment horizontal="center" vertical="center"/>
    </xf>
    <xf numFmtId="49" fontId="1" fillId="3" borderId="1" xfId="1" applyNumberFormat="1" applyFont="1" applyFill="1" applyBorder="1" applyAlignment="1" applyProtection="1">
      <alignment horizontal="center"/>
    </xf>
    <xf numFmtId="0" fontId="1" fillId="3" borderId="0" xfId="1" applyFont="1" applyFill="1" applyBorder="1" applyAlignment="1" applyProtection="1">
      <alignment horizontal="center"/>
    </xf>
    <xf numFmtId="49" fontId="1" fillId="5" borderId="0" xfId="1" applyNumberFormat="1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center" vertical="center"/>
    </xf>
    <xf numFmtId="49" fontId="1" fillId="19" borderId="0" xfId="1" applyNumberFormat="1" applyFont="1" applyFill="1" applyBorder="1" applyAlignment="1" applyProtection="1">
      <alignment horizontal="center"/>
      <protection locked="0"/>
    </xf>
    <xf numFmtId="49" fontId="1" fillId="19" borderId="0" xfId="1" applyNumberFormat="1" applyFont="1" applyFill="1" applyBorder="1" applyAlignment="1" applyProtection="1">
      <alignment horizontal="center" vertical="center"/>
    </xf>
    <xf numFmtId="164" fontId="1" fillId="19" borderId="0" xfId="1" applyNumberFormat="1" applyFont="1" applyFill="1" applyBorder="1" applyAlignment="1" applyProtection="1">
      <alignment horizontal="center"/>
    </xf>
    <xf numFmtId="0" fontId="1" fillId="23" borderId="0" xfId="1" applyFont="1" applyFill="1" applyBorder="1" applyAlignment="1" applyProtection="1">
      <alignment horizontal="center"/>
    </xf>
    <xf numFmtId="49" fontId="1" fillId="23" borderId="0" xfId="1" applyNumberFormat="1" applyFont="1" applyFill="1" applyBorder="1" applyAlignment="1" applyProtection="1">
      <alignment horizontal="center"/>
    </xf>
    <xf numFmtId="49" fontId="1" fillId="23" borderId="0" xfId="1" applyNumberFormat="1" applyFont="1" applyFill="1" applyBorder="1" applyAlignment="1" applyProtection="1">
      <alignment horizontal="center" vertical="center"/>
      <protection locked="0"/>
    </xf>
    <xf numFmtId="0" fontId="1" fillId="15" borderId="0" xfId="0" applyFont="1" applyFill="1" applyBorder="1" applyAlignment="1">
      <alignment horizontal="center" vertical="center"/>
    </xf>
    <xf numFmtId="0" fontId="1" fillId="15" borderId="8" xfId="1" applyFont="1" applyFill="1" applyBorder="1" applyAlignment="1" applyProtection="1">
      <alignment horizontal="center"/>
    </xf>
    <xf numFmtId="49" fontId="1" fillId="15" borderId="0" xfId="1" applyNumberFormat="1" applyFont="1" applyFill="1" applyBorder="1" applyAlignment="1" applyProtection="1">
      <alignment horizontal="center" vertical="center"/>
      <protection locked="0"/>
    </xf>
    <xf numFmtId="49" fontId="1" fillId="15" borderId="0" xfId="1" applyNumberFormat="1" applyFont="1" applyFill="1" applyBorder="1" applyAlignment="1" applyProtection="1">
      <alignment horizontal="center"/>
    </xf>
    <xf numFmtId="0" fontId="1" fillId="15" borderId="0" xfId="1" applyFont="1" applyFill="1" applyBorder="1" applyAlignment="1" applyProtection="1">
      <alignment horizontal="center" vertical="center"/>
    </xf>
    <xf numFmtId="49" fontId="1" fillId="19" borderId="0" xfId="1" applyNumberFormat="1" applyFont="1" applyFill="1" applyBorder="1" applyAlignment="1" applyProtection="1">
      <alignment horizontal="center"/>
    </xf>
    <xf numFmtId="0" fontId="1" fillId="25" borderId="4" xfId="1" applyFont="1" applyFill="1" applyBorder="1" applyAlignment="1" applyProtection="1">
      <alignment horizontal="center"/>
    </xf>
    <xf numFmtId="49" fontId="1" fillId="25" borderId="4" xfId="1" applyNumberFormat="1" applyFont="1" applyFill="1" applyBorder="1" applyAlignment="1" applyProtection="1">
      <alignment horizontal="center"/>
    </xf>
    <xf numFmtId="49" fontId="1" fillId="25" borderId="4" xfId="1" applyNumberFormat="1" applyFont="1" applyFill="1" applyBorder="1" applyAlignment="1" applyProtection="1">
      <alignment horizontal="center" vertical="center"/>
      <protection locked="0"/>
    </xf>
    <xf numFmtId="0" fontId="1" fillId="25" borderId="6" xfId="1" applyFont="1" applyFill="1" applyBorder="1" applyAlignment="1" applyProtection="1">
      <alignment horizontal="center" vertical="center"/>
      <protection locked="0"/>
    </xf>
    <xf numFmtId="49" fontId="1" fillId="25" borderId="6" xfId="1" applyNumberFormat="1" applyFont="1" applyFill="1" applyBorder="1" applyAlignment="1" applyProtection="1">
      <alignment horizontal="center" vertical="center"/>
      <protection locked="0"/>
    </xf>
    <xf numFmtId="0" fontId="1" fillId="25" borderId="6" xfId="1" applyFont="1" applyFill="1" applyBorder="1" applyAlignment="1" applyProtection="1">
      <alignment horizontal="center" vertical="center"/>
    </xf>
    <xf numFmtId="0" fontId="1" fillId="26" borderId="6" xfId="1" applyFont="1" applyFill="1" applyBorder="1" applyAlignment="1" applyProtection="1">
      <alignment horizontal="center" vertical="center"/>
    </xf>
    <xf numFmtId="49" fontId="1" fillId="26" borderId="6" xfId="1" applyNumberFormat="1" applyFont="1" applyFill="1" applyBorder="1" applyAlignment="1" applyProtection="1">
      <alignment horizontal="center" vertical="center"/>
    </xf>
    <xf numFmtId="49" fontId="1" fillId="26" borderId="6" xfId="1" applyNumberFormat="1" applyFont="1" applyFill="1" applyBorder="1" applyAlignment="1" applyProtection="1">
      <alignment horizontal="center" vertical="center"/>
      <protection locked="0"/>
    </xf>
    <xf numFmtId="49" fontId="5" fillId="25" borderId="6" xfId="1" applyNumberFormat="1" applyFont="1" applyFill="1" applyBorder="1" applyAlignment="1" applyProtection="1">
      <alignment horizontal="center"/>
    </xf>
    <xf numFmtId="0" fontId="1" fillId="25" borderId="6" xfId="0" applyFont="1" applyFill="1" applyBorder="1" applyAlignment="1">
      <alignment horizontal="center" vertical="center"/>
    </xf>
    <xf numFmtId="49" fontId="1" fillId="27" borderId="4" xfId="1" applyNumberFormat="1" applyFont="1" applyFill="1" applyBorder="1" applyAlignment="1" applyProtection="1">
      <alignment horizontal="center" vertical="center"/>
      <protection locked="0"/>
    </xf>
    <xf numFmtId="49" fontId="1" fillId="28" borderId="4" xfId="1" applyNumberFormat="1" applyFont="1" applyFill="1" applyBorder="1" applyAlignment="1" applyProtection="1">
      <alignment horizontal="center" vertical="center"/>
      <protection locked="0"/>
    </xf>
    <xf numFmtId="49" fontId="1" fillId="27" borderId="8" xfId="1" applyNumberFormat="1" applyFont="1" applyFill="1" applyBorder="1" applyAlignment="1" applyProtection="1">
      <alignment horizontal="center" vertical="center"/>
      <protection locked="0"/>
    </xf>
    <xf numFmtId="49" fontId="1" fillId="28" borderId="6" xfId="1" applyNumberFormat="1" applyFont="1" applyFill="1" applyBorder="1" applyAlignment="1" applyProtection="1">
      <alignment horizontal="center" vertical="center"/>
    </xf>
    <xf numFmtId="49" fontId="1" fillId="28" borderId="4" xfId="1" applyNumberFormat="1" applyFont="1" applyFill="1" applyBorder="1" applyAlignment="1" applyProtection="1">
      <alignment horizontal="center" vertical="center"/>
    </xf>
    <xf numFmtId="49" fontId="1" fillId="28" borderId="6" xfId="1" applyNumberFormat="1" applyFont="1" applyFill="1" applyBorder="1" applyAlignment="1" applyProtection="1">
      <alignment horizontal="center"/>
    </xf>
    <xf numFmtId="49" fontId="1" fillId="29" borderId="4" xfId="1" applyNumberFormat="1" applyFont="1" applyFill="1" applyBorder="1" applyAlignment="1" applyProtection="1">
      <alignment horizontal="center" vertical="center"/>
    </xf>
    <xf numFmtId="0" fontId="1" fillId="28" borderId="4" xfId="1" applyFont="1" applyFill="1" applyBorder="1" applyAlignment="1" applyProtection="1">
      <alignment horizontal="center" vertical="center"/>
    </xf>
    <xf numFmtId="49" fontId="1" fillId="28" borderId="4" xfId="1" applyNumberFormat="1" applyFont="1" applyFill="1" applyBorder="1" applyAlignment="1" applyProtection="1">
      <alignment horizontal="center"/>
    </xf>
    <xf numFmtId="49" fontId="1" fillId="28" borderId="4" xfId="1" applyNumberFormat="1" applyFont="1" applyFill="1" applyBorder="1" applyAlignment="1" applyProtection="1">
      <alignment horizontal="center"/>
      <protection locked="0"/>
    </xf>
    <xf numFmtId="49" fontId="1" fillId="28" borderId="6" xfId="1" applyNumberFormat="1" applyFont="1" applyFill="1" applyBorder="1" applyAlignment="1" applyProtection="1">
      <alignment horizontal="center" vertical="center"/>
      <protection locked="0"/>
    </xf>
    <xf numFmtId="49" fontId="1" fillId="28" borderId="8" xfId="1" applyNumberFormat="1" applyFont="1" applyFill="1" applyBorder="1" applyAlignment="1" applyProtection="1">
      <alignment horizontal="center" vertical="center"/>
      <protection locked="0"/>
    </xf>
    <xf numFmtId="49" fontId="1" fillId="29" borderId="4" xfId="1" applyNumberFormat="1" applyFont="1" applyFill="1" applyBorder="1" applyAlignment="1" applyProtection="1">
      <alignment horizontal="center" vertical="center"/>
      <protection locked="0"/>
    </xf>
    <xf numFmtId="0" fontId="1" fillId="28" borderId="4" xfId="0" applyFont="1" applyFill="1" applyBorder="1" applyAlignment="1">
      <alignment horizontal="center" vertical="center"/>
    </xf>
    <xf numFmtId="0" fontId="1" fillId="28" borderId="4" xfId="1" applyFont="1" applyFill="1" applyBorder="1" applyAlignment="1" applyProtection="1">
      <alignment horizontal="center"/>
    </xf>
    <xf numFmtId="49" fontId="1" fillId="28" borderId="8" xfId="1" applyNumberFormat="1" applyFont="1" applyFill="1" applyBorder="1" applyAlignment="1" applyProtection="1">
      <alignment horizont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A30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02"/>
  <sheetViews>
    <sheetView tabSelected="1" topLeftCell="B74" workbookViewId="0">
      <selection activeCell="P86" sqref="P86"/>
    </sheetView>
  </sheetViews>
  <sheetFormatPr defaultRowHeight="12.75" x14ac:dyDescent="0.2"/>
  <cols>
    <col min="6" max="6" width="14.140625" bestFit="1" customWidth="1"/>
    <col min="7" max="7" width="12.42578125" bestFit="1" customWidth="1"/>
    <col min="16" max="16" width="44.7109375" bestFit="1" customWidth="1"/>
  </cols>
  <sheetData>
    <row r="1" spans="1:69" ht="132" x14ac:dyDescent="0.2">
      <c r="A1" s="4" t="s">
        <v>0</v>
      </c>
      <c r="B1" s="4" t="s">
        <v>2254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8</v>
      </c>
      <c r="L1" s="4" t="s">
        <v>10</v>
      </c>
      <c r="M1" s="4" t="s">
        <v>8</v>
      </c>
      <c r="N1" s="4" t="s">
        <v>11</v>
      </c>
      <c r="O1" s="4" t="s">
        <v>8</v>
      </c>
      <c r="P1" s="4" t="s">
        <v>2212</v>
      </c>
      <c r="Q1" s="446" t="s">
        <v>2213</v>
      </c>
      <c r="R1" s="6"/>
      <c r="S1" s="7"/>
      <c r="T1" s="7"/>
      <c r="U1" s="7"/>
      <c r="V1" s="7"/>
      <c r="W1" s="8"/>
      <c r="X1" s="8"/>
      <c r="Y1" s="9"/>
      <c r="Z1" s="9"/>
      <c r="AA1" s="9"/>
      <c r="AB1" s="10"/>
      <c r="AC1" s="10"/>
      <c r="AD1" s="10"/>
      <c r="AE1" s="10"/>
      <c r="AF1" s="10"/>
      <c r="AG1" s="10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2"/>
      <c r="BM1" s="12"/>
      <c r="BN1" s="12"/>
      <c r="BO1" s="12"/>
      <c r="BP1" s="13"/>
    </row>
    <row r="2" spans="1:69" x14ac:dyDescent="0.2">
      <c r="A2" s="14" t="s">
        <v>12</v>
      </c>
      <c r="B2" s="15" t="s">
        <v>13</v>
      </c>
      <c r="C2" s="14" t="s">
        <v>14</v>
      </c>
      <c r="D2" s="16">
        <v>1</v>
      </c>
      <c r="E2" s="454" t="s">
        <v>15</v>
      </c>
      <c r="F2" s="455" t="s">
        <v>16</v>
      </c>
      <c r="G2" s="454" t="s">
        <v>17</v>
      </c>
      <c r="H2" s="19" t="s">
        <v>14</v>
      </c>
      <c r="I2" s="575" t="s">
        <v>18</v>
      </c>
      <c r="J2" s="20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5" t="s">
        <v>24</v>
      </c>
      <c r="P2" s="15"/>
      <c r="Q2" s="21"/>
      <c r="R2" s="21"/>
      <c r="S2" s="22"/>
      <c r="T2" s="22"/>
      <c r="U2" s="15"/>
      <c r="V2" s="15"/>
      <c r="W2" s="15"/>
      <c r="X2" s="15"/>
      <c r="Y2" s="23"/>
      <c r="Z2" s="24"/>
      <c r="AA2" s="25"/>
      <c r="AB2" s="26"/>
      <c r="AC2" s="27"/>
      <c r="AE2" s="26"/>
      <c r="AF2" s="28"/>
      <c r="AG2" s="28"/>
      <c r="AH2" s="27"/>
      <c r="AI2" s="29"/>
      <c r="AJ2" s="30" t="s">
        <v>25</v>
      </c>
      <c r="AK2" s="30" t="s">
        <v>26</v>
      </c>
      <c r="AL2" s="30"/>
      <c r="AM2" s="24"/>
      <c r="AN2" s="30"/>
      <c r="AO2" s="24"/>
      <c r="AP2" s="31"/>
      <c r="AQ2" s="32"/>
      <c r="AR2" s="33"/>
      <c r="AS2" s="33"/>
      <c r="AT2" s="32" t="s">
        <v>27</v>
      </c>
      <c r="AU2" s="33" t="s">
        <v>28</v>
      </c>
      <c r="AV2" s="34"/>
      <c r="AW2" s="34"/>
      <c r="AX2" s="32"/>
      <c r="AY2" s="32"/>
      <c r="AZ2" s="32"/>
      <c r="BA2" s="32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"/>
    </row>
    <row r="3" spans="1:69" x14ac:dyDescent="0.2">
      <c r="A3" s="27" t="s">
        <v>12</v>
      </c>
      <c r="B3" s="30" t="s">
        <v>2256</v>
      </c>
      <c r="C3" s="27" t="s">
        <v>14</v>
      </c>
      <c r="D3" s="35">
        <v>2</v>
      </c>
      <c r="E3" s="36"/>
      <c r="F3" s="37" t="s">
        <v>29</v>
      </c>
      <c r="G3" s="38"/>
      <c r="H3" s="29" t="s">
        <v>14</v>
      </c>
      <c r="I3" s="576" t="s">
        <v>30</v>
      </c>
      <c r="J3" s="39"/>
      <c r="K3" s="39"/>
      <c r="L3" s="27" t="s">
        <v>21</v>
      </c>
      <c r="M3" s="27" t="s">
        <v>31</v>
      </c>
      <c r="N3" s="27" t="s">
        <v>23</v>
      </c>
      <c r="O3" s="40"/>
      <c r="P3" s="40"/>
      <c r="Q3" s="27"/>
      <c r="R3" s="29"/>
      <c r="S3" s="30"/>
      <c r="T3" s="24"/>
      <c r="U3" s="30"/>
      <c r="V3" s="30"/>
      <c r="W3" s="30"/>
      <c r="X3" s="30"/>
      <c r="Y3" s="23"/>
      <c r="Z3" s="24"/>
      <c r="AA3" s="30"/>
      <c r="AB3" s="26"/>
      <c r="AC3" s="27"/>
      <c r="AD3" s="41"/>
      <c r="AE3" s="26"/>
      <c r="AF3" s="28"/>
      <c r="AG3" s="28"/>
      <c r="AH3" s="27"/>
      <c r="AI3" s="29"/>
      <c r="AJ3" s="30" t="s">
        <v>32</v>
      </c>
      <c r="AK3" s="24">
        <v>536226</v>
      </c>
      <c r="AL3" s="30"/>
      <c r="AM3" s="24"/>
      <c r="AN3" s="30"/>
      <c r="AO3" s="24"/>
      <c r="AP3" s="31"/>
      <c r="AQ3" s="32"/>
      <c r="AR3" s="42"/>
      <c r="AS3" s="42"/>
      <c r="AT3" s="32" t="s">
        <v>27</v>
      </c>
      <c r="AU3" s="33" t="s">
        <v>33</v>
      </c>
      <c r="AV3" s="34"/>
      <c r="AW3" s="34"/>
      <c r="AX3" s="32"/>
      <c r="AY3" s="32"/>
      <c r="AZ3" s="32"/>
      <c r="BA3" s="32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"/>
    </row>
    <row r="4" spans="1:69" x14ac:dyDescent="0.2">
      <c r="A4" s="14" t="s">
        <v>12</v>
      </c>
      <c r="B4" s="15" t="s">
        <v>2255</v>
      </c>
      <c r="C4" s="14" t="s">
        <v>14</v>
      </c>
      <c r="D4" s="16">
        <v>3</v>
      </c>
      <c r="E4" s="17" t="s">
        <v>34</v>
      </c>
      <c r="F4" s="43" t="s">
        <v>35</v>
      </c>
      <c r="G4" s="17" t="s">
        <v>36</v>
      </c>
      <c r="H4" s="19" t="s">
        <v>14</v>
      </c>
      <c r="I4" s="577" t="s">
        <v>37</v>
      </c>
      <c r="J4" s="20" t="s">
        <v>19</v>
      </c>
      <c r="K4" s="20" t="s">
        <v>38</v>
      </c>
      <c r="L4" s="14" t="s">
        <v>21</v>
      </c>
      <c r="M4" s="21" t="s">
        <v>39</v>
      </c>
      <c r="N4" s="15" t="s">
        <v>23</v>
      </c>
      <c r="O4" s="15" t="s">
        <v>40</v>
      </c>
      <c r="P4" s="15"/>
      <c r="Q4" s="20" t="s">
        <v>41</v>
      </c>
      <c r="R4" s="20"/>
      <c r="S4" s="20"/>
      <c r="T4" s="20"/>
      <c r="U4" s="20"/>
      <c r="V4" s="20"/>
      <c r="W4" s="14"/>
      <c r="X4" s="14"/>
      <c r="Y4" s="23"/>
      <c r="Z4" s="24"/>
      <c r="AA4" s="30"/>
      <c r="AB4" s="28"/>
      <c r="AC4" s="27"/>
      <c r="AD4" s="2"/>
      <c r="AE4" s="28"/>
      <c r="AF4" s="28"/>
      <c r="AG4" s="28"/>
      <c r="AH4" s="27"/>
      <c r="AI4" s="27"/>
      <c r="AJ4" s="30"/>
      <c r="AK4" s="24"/>
      <c r="AL4" s="30"/>
      <c r="AM4" s="24"/>
      <c r="AN4" s="44"/>
      <c r="AO4" s="24"/>
      <c r="AP4" s="31"/>
      <c r="AQ4" s="32"/>
      <c r="AR4" s="42"/>
      <c r="AS4" s="42"/>
      <c r="AT4" s="32" t="s">
        <v>27</v>
      </c>
      <c r="AU4" s="33" t="s">
        <v>43</v>
      </c>
      <c r="AV4" s="34"/>
      <c r="AW4" s="34"/>
      <c r="AX4" s="32"/>
      <c r="AY4" s="32"/>
      <c r="AZ4" s="32"/>
      <c r="BA4" s="32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 spans="1:69" x14ac:dyDescent="0.2">
      <c r="A5" s="27" t="s">
        <v>12</v>
      </c>
      <c r="B5" s="30" t="s">
        <v>13</v>
      </c>
      <c r="C5" s="27" t="s">
        <v>14</v>
      </c>
      <c r="D5" s="35">
        <v>4</v>
      </c>
      <c r="E5" s="440" t="s">
        <v>44</v>
      </c>
      <c r="F5" s="451" t="s">
        <v>45</v>
      </c>
      <c r="G5" s="440" t="s">
        <v>36</v>
      </c>
      <c r="H5" s="29" t="s">
        <v>14</v>
      </c>
      <c r="I5" s="576" t="s">
        <v>46</v>
      </c>
      <c r="J5" s="47" t="s">
        <v>19</v>
      </c>
      <c r="K5" s="47" t="s">
        <v>47</v>
      </c>
      <c r="L5" s="27" t="s">
        <v>21</v>
      </c>
      <c r="M5" s="27" t="s">
        <v>48</v>
      </c>
      <c r="N5" s="30" t="s">
        <v>23</v>
      </c>
      <c r="O5" s="25" t="s">
        <v>49</v>
      </c>
      <c r="P5" s="25"/>
      <c r="Q5" s="48"/>
      <c r="R5" s="48"/>
      <c r="S5" s="30"/>
      <c r="T5" s="24"/>
      <c r="U5" s="30"/>
      <c r="V5" s="30"/>
      <c r="W5" s="30"/>
      <c r="X5" s="30"/>
      <c r="Y5" s="23"/>
      <c r="Z5" s="24"/>
      <c r="AA5" s="30"/>
      <c r="AB5" s="28"/>
      <c r="AC5" s="27"/>
      <c r="AE5" s="28"/>
      <c r="AF5" s="28"/>
      <c r="AG5" s="28"/>
      <c r="AH5" s="27"/>
      <c r="AI5" s="29"/>
      <c r="AJ5" s="30" t="s">
        <v>25</v>
      </c>
      <c r="AK5" s="24">
        <v>32675</v>
      </c>
      <c r="AL5" s="30" t="s">
        <v>50</v>
      </c>
      <c r="AM5" s="30" t="s">
        <v>51</v>
      </c>
      <c r="AN5" s="30"/>
      <c r="AO5" s="24"/>
      <c r="AP5" s="31"/>
      <c r="AQ5" s="32"/>
      <c r="AR5" s="42"/>
      <c r="AS5" s="42"/>
      <c r="AT5" s="32" t="s">
        <v>27</v>
      </c>
      <c r="AU5" s="49" t="s">
        <v>52</v>
      </c>
      <c r="AV5" s="34"/>
      <c r="AW5" s="34"/>
      <c r="AX5" s="32"/>
      <c r="AY5" s="32"/>
      <c r="AZ5" s="32"/>
      <c r="BA5" s="32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"/>
    </row>
    <row r="6" spans="1:69" x14ac:dyDescent="0.2">
      <c r="A6" s="27" t="s">
        <v>12</v>
      </c>
      <c r="B6" s="30" t="s">
        <v>13</v>
      </c>
      <c r="C6" s="27" t="s">
        <v>14</v>
      </c>
      <c r="D6" s="35">
        <v>5</v>
      </c>
      <c r="E6" s="440" t="s">
        <v>53</v>
      </c>
      <c r="F6" s="452" t="s">
        <v>54</v>
      </c>
      <c r="G6" s="440" t="s">
        <v>55</v>
      </c>
      <c r="H6" s="29" t="s">
        <v>14</v>
      </c>
      <c r="I6" s="576" t="s">
        <v>56</v>
      </c>
      <c r="J6" s="47" t="s">
        <v>19</v>
      </c>
      <c r="K6" s="27" t="s">
        <v>57</v>
      </c>
      <c r="L6" s="27" t="s">
        <v>58</v>
      </c>
      <c r="M6" s="27" t="s">
        <v>59</v>
      </c>
      <c r="N6" s="27" t="s">
        <v>23</v>
      </c>
      <c r="O6" s="51" t="s">
        <v>60</v>
      </c>
      <c r="P6" s="51"/>
      <c r="Q6" s="2"/>
      <c r="R6" s="2"/>
      <c r="S6" s="2"/>
      <c r="T6" s="2"/>
      <c r="U6" s="30"/>
      <c r="V6" s="30"/>
      <c r="W6" s="30"/>
      <c r="X6" s="30"/>
      <c r="Y6" s="23"/>
      <c r="Z6" s="24"/>
      <c r="AA6" s="52"/>
      <c r="AB6" s="26"/>
      <c r="AC6" s="27"/>
      <c r="AD6" s="2"/>
      <c r="AE6" s="26"/>
      <c r="AF6" s="28"/>
      <c r="AG6" s="28"/>
      <c r="AH6" s="27"/>
      <c r="AI6" s="29"/>
      <c r="AJ6" s="30"/>
      <c r="AK6" s="24"/>
      <c r="AL6" s="30"/>
      <c r="AM6" s="24"/>
      <c r="AN6" s="30"/>
      <c r="AO6" s="24"/>
      <c r="AP6" s="31"/>
      <c r="AQ6" s="32"/>
      <c r="AR6" s="42"/>
      <c r="AS6" s="42"/>
      <c r="AT6" s="32" t="s">
        <v>27</v>
      </c>
      <c r="AU6" s="42" t="s">
        <v>61</v>
      </c>
      <c r="AV6" s="34"/>
      <c r="AW6" s="34"/>
      <c r="AX6" s="32"/>
      <c r="AY6" s="32"/>
      <c r="AZ6" s="32"/>
      <c r="BA6" s="32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</row>
    <row r="7" spans="1:69" x14ac:dyDescent="0.2">
      <c r="A7" s="27" t="s">
        <v>12</v>
      </c>
      <c r="B7" s="30" t="s">
        <v>13</v>
      </c>
      <c r="C7" s="27" t="s">
        <v>14</v>
      </c>
      <c r="D7" s="53">
        <v>6</v>
      </c>
      <c r="E7" s="440" t="s">
        <v>34</v>
      </c>
      <c r="F7" s="452" t="s">
        <v>62</v>
      </c>
      <c r="G7" s="440" t="s">
        <v>63</v>
      </c>
      <c r="H7" s="29" t="s">
        <v>14</v>
      </c>
      <c r="I7" s="573" t="s">
        <v>64</v>
      </c>
      <c r="J7" s="47" t="s">
        <v>19</v>
      </c>
      <c r="K7" s="47" t="s">
        <v>65</v>
      </c>
      <c r="L7" s="27" t="s">
        <v>21</v>
      </c>
      <c r="M7" s="27" t="s">
        <v>66</v>
      </c>
      <c r="N7" s="30" t="s">
        <v>23</v>
      </c>
      <c r="O7" s="25" t="s">
        <v>77</v>
      </c>
      <c r="P7" s="25"/>
      <c r="Q7" s="29"/>
      <c r="R7" s="2"/>
      <c r="S7" s="24"/>
      <c r="T7" s="24"/>
      <c r="U7" s="24"/>
      <c r="V7" s="24"/>
      <c r="W7" s="30"/>
      <c r="X7" s="30"/>
      <c r="Y7" s="23"/>
      <c r="Z7" s="24"/>
      <c r="AA7" s="30"/>
      <c r="AB7" s="28"/>
      <c r="AC7" s="29"/>
      <c r="AD7" s="2"/>
      <c r="AE7" s="28"/>
      <c r="AF7" s="28"/>
      <c r="AG7" s="28"/>
      <c r="AH7" s="27"/>
      <c r="AI7" s="47"/>
      <c r="AJ7" s="30" t="s">
        <v>25</v>
      </c>
      <c r="AK7" s="51" t="s">
        <v>68</v>
      </c>
      <c r="AL7" s="30" t="s">
        <v>50</v>
      </c>
      <c r="AM7" s="51" t="s">
        <v>69</v>
      </c>
      <c r="AN7" s="30"/>
      <c r="AO7" s="51"/>
      <c r="AP7" s="31"/>
      <c r="AQ7" s="32"/>
      <c r="AR7" s="54"/>
      <c r="AS7" s="54"/>
      <c r="AT7" s="32" t="s">
        <v>27</v>
      </c>
      <c r="AU7" s="33" t="s">
        <v>70</v>
      </c>
      <c r="AV7" s="34"/>
      <c r="AW7" s="34"/>
      <c r="AX7" s="32"/>
      <c r="AY7" s="32"/>
      <c r="AZ7" s="32"/>
      <c r="BA7" s="32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</row>
    <row r="8" spans="1:69" x14ac:dyDescent="0.2">
      <c r="A8" s="27" t="s">
        <v>12</v>
      </c>
      <c r="B8" s="30" t="s">
        <v>13</v>
      </c>
      <c r="C8" s="27" t="s">
        <v>14</v>
      </c>
      <c r="D8" s="35">
        <v>7</v>
      </c>
      <c r="E8" s="450" t="s">
        <v>79</v>
      </c>
      <c r="F8" s="452" t="s">
        <v>110</v>
      </c>
      <c r="G8" s="440" t="s">
        <v>111</v>
      </c>
      <c r="H8" s="29" t="s">
        <v>14</v>
      </c>
      <c r="I8" s="576" t="s">
        <v>73</v>
      </c>
      <c r="J8" s="27" t="s">
        <v>74</v>
      </c>
      <c r="K8" s="29" t="s">
        <v>75</v>
      </c>
      <c r="L8" s="27" t="s">
        <v>58</v>
      </c>
      <c r="M8" s="27" t="s">
        <v>76</v>
      </c>
      <c r="N8" s="27" t="s">
        <v>23</v>
      </c>
      <c r="O8" s="25" t="s">
        <v>2240</v>
      </c>
      <c r="P8" s="25"/>
      <c r="Q8" s="27"/>
      <c r="R8" s="27"/>
      <c r="S8" s="27"/>
      <c r="T8" s="29"/>
      <c r="U8" s="27"/>
      <c r="V8" s="27"/>
      <c r="W8" s="27"/>
      <c r="X8" s="27"/>
      <c r="Y8" s="23"/>
      <c r="Z8" s="30"/>
      <c r="AA8" s="25"/>
      <c r="AB8" s="56"/>
      <c r="AC8" s="27"/>
      <c r="AD8" s="27"/>
      <c r="AE8" s="27"/>
      <c r="AF8" s="27"/>
      <c r="AG8" s="27"/>
      <c r="AH8" s="2"/>
      <c r="AI8" s="28"/>
      <c r="AJ8" s="57"/>
      <c r="AK8" s="28"/>
      <c r="AL8" s="57"/>
      <c r="AM8" s="57"/>
      <c r="AN8" s="28"/>
      <c r="AO8" s="28"/>
      <c r="AP8" s="58"/>
      <c r="AQ8" s="32"/>
      <c r="AR8" s="42"/>
      <c r="AS8" s="42"/>
      <c r="AT8" s="32" t="s">
        <v>27</v>
      </c>
      <c r="AU8" s="33" t="s">
        <v>78</v>
      </c>
      <c r="AV8" s="34"/>
      <c r="AW8" s="34"/>
      <c r="AX8" s="32"/>
      <c r="AY8" s="32"/>
      <c r="AZ8" s="32"/>
      <c r="BA8" s="32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</row>
    <row r="9" spans="1:69" x14ac:dyDescent="0.2">
      <c r="A9" s="27" t="s">
        <v>12</v>
      </c>
      <c r="B9" s="30" t="s">
        <v>13</v>
      </c>
      <c r="C9" s="27" t="s">
        <v>14</v>
      </c>
      <c r="D9" s="35">
        <v>8</v>
      </c>
      <c r="E9" s="439" t="s">
        <v>79</v>
      </c>
      <c r="F9" s="451" t="s">
        <v>80</v>
      </c>
      <c r="G9" s="439" t="s">
        <v>81</v>
      </c>
      <c r="H9" s="24" t="s">
        <v>14</v>
      </c>
      <c r="I9" s="578" t="s">
        <v>82</v>
      </c>
      <c r="J9" s="59" t="s">
        <v>19</v>
      </c>
      <c r="K9" s="60" t="s">
        <v>83</v>
      </c>
      <c r="L9" s="30" t="s">
        <v>21</v>
      </c>
      <c r="M9" s="30" t="s">
        <v>185</v>
      </c>
      <c r="N9" s="30" t="s">
        <v>23</v>
      </c>
      <c r="O9" s="30" t="s">
        <v>85</v>
      </c>
      <c r="P9" s="30"/>
      <c r="Q9" s="39"/>
      <c r="R9" s="39"/>
      <c r="S9" s="39"/>
      <c r="T9" s="39"/>
      <c r="U9" s="39"/>
      <c r="V9" s="39"/>
      <c r="W9" s="39"/>
      <c r="X9" s="39"/>
      <c r="Y9" s="23"/>
      <c r="Z9" s="30"/>
      <c r="AA9" s="25"/>
      <c r="AB9" s="56"/>
      <c r="AC9" s="27"/>
      <c r="AD9" s="2"/>
      <c r="AE9" s="26"/>
      <c r="AF9" s="57"/>
      <c r="AG9" s="28"/>
      <c r="AH9" s="57"/>
      <c r="AI9" s="57"/>
      <c r="AJ9" s="57"/>
      <c r="AK9" s="28"/>
      <c r="AL9" s="57"/>
      <c r="AM9" s="57"/>
      <c r="AN9" s="28"/>
      <c r="AO9" s="28"/>
      <c r="AP9" s="58"/>
      <c r="AQ9" s="32"/>
      <c r="AR9" s="42"/>
      <c r="AS9" s="42"/>
      <c r="AT9" s="32" t="s">
        <v>27</v>
      </c>
      <c r="AU9" s="33" t="s">
        <v>86</v>
      </c>
      <c r="AV9" s="34"/>
      <c r="AW9" s="34"/>
      <c r="AX9" s="32"/>
      <c r="AY9" s="32"/>
      <c r="AZ9" s="32"/>
      <c r="BA9" s="32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</row>
    <row r="10" spans="1:69" x14ac:dyDescent="0.2">
      <c r="A10" s="27" t="s">
        <v>87</v>
      </c>
      <c r="B10" s="52" t="s">
        <v>13</v>
      </c>
      <c r="C10" s="27" t="s">
        <v>14</v>
      </c>
      <c r="D10" s="35">
        <v>9</v>
      </c>
      <c r="E10" s="440" t="s">
        <v>88</v>
      </c>
      <c r="F10" s="452" t="s">
        <v>89</v>
      </c>
      <c r="G10" s="440" t="s">
        <v>90</v>
      </c>
      <c r="H10" s="29" t="s">
        <v>14</v>
      </c>
      <c r="I10" s="576" t="s">
        <v>91</v>
      </c>
      <c r="J10" s="47" t="s">
        <v>92</v>
      </c>
      <c r="K10" s="27" t="s">
        <v>93</v>
      </c>
      <c r="L10" s="27" t="s">
        <v>21</v>
      </c>
      <c r="M10" s="27" t="s">
        <v>94</v>
      </c>
      <c r="N10" s="27" t="s">
        <v>23</v>
      </c>
      <c r="O10" s="30" t="s">
        <v>95</v>
      </c>
      <c r="P10" s="30"/>
      <c r="Q10" s="27"/>
      <c r="R10" s="29"/>
      <c r="S10" s="27"/>
      <c r="T10" s="29"/>
      <c r="U10" s="27"/>
      <c r="V10" s="29"/>
      <c r="W10" s="61"/>
      <c r="X10" s="27"/>
      <c r="Y10" s="23"/>
      <c r="Z10" s="62"/>
      <c r="AA10" s="30"/>
      <c r="AB10" s="63"/>
      <c r="AC10" s="29"/>
      <c r="AD10" s="2"/>
      <c r="AE10" s="26"/>
      <c r="AF10" s="64"/>
      <c r="AG10" s="28"/>
      <c r="AH10" s="57"/>
      <c r="AI10" s="57"/>
      <c r="AJ10" s="28"/>
      <c r="AK10" s="57"/>
      <c r="AL10" s="28"/>
      <c r="AM10" s="64"/>
      <c r="AN10" s="28"/>
      <c r="AO10" s="28"/>
      <c r="AP10" s="58"/>
      <c r="AQ10" s="32"/>
      <c r="AR10" s="54"/>
      <c r="AS10" s="54"/>
      <c r="AT10" s="32" t="s">
        <v>27</v>
      </c>
      <c r="AU10" s="33" t="s">
        <v>96</v>
      </c>
      <c r="AV10" s="34"/>
      <c r="AW10" s="34"/>
      <c r="AX10" s="34"/>
      <c r="AY10" s="34"/>
      <c r="AZ10" s="34"/>
      <c r="BA10" s="34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</row>
    <row r="11" spans="1:69" x14ac:dyDescent="0.2">
      <c r="A11" s="27" t="s">
        <v>12</v>
      </c>
      <c r="B11" s="52" t="s">
        <v>13</v>
      </c>
      <c r="C11" s="27" t="s">
        <v>14</v>
      </c>
      <c r="D11" s="35">
        <v>10</v>
      </c>
      <c r="E11" s="440" t="s">
        <v>44</v>
      </c>
      <c r="F11" s="452" t="s">
        <v>97</v>
      </c>
      <c r="G11" s="440" t="s">
        <v>98</v>
      </c>
      <c r="H11" s="47" t="s">
        <v>14</v>
      </c>
      <c r="I11" s="573" t="s">
        <v>99</v>
      </c>
      <c r="J11" s="47" t="s">
        <v>19</v>
      </c>
      <c r="K11" s="47">
        <v>525138</v>
      </c>
      <c r="L11" s="47" t="s">
        <v>21</v>
      </c>
      <c r="M11" s="47">
        <v>439351</v>
      </c>
      <c r="N11" s="30" t="s">
        <v>23</v>
      </c>
      <c r="O11" s="25" t="s">
        <v>100</v>
      </c>
      <c r="P11" s="25"/>
      <c r="Q11" s="2" t="s">
        <v>101</v>
      </c>
      <c r="R11" s="2">
        <v>754</v>
      </c>
      <c r="S11" s="2"/>
      <c r="T11" s="2"/>
      <c r="U11" s="2"/>
      <c r="V11" s="2"/>
      <c r="W11" s="2"/>
      <c r="X11" s="2"/>
      <c r="Y11" s="65"/>
      <c r="Z11" s="47"/>
      <c r="AA11" s="47"/>
      <c r="AB11" s="47"/>
      <c r="AC11" s="47"/>
      <c r="AD11" s="47"/>
      <c r="AE11" s="47"/>
      <c r="AF11" s="28"/>
      <c r="AG11" s="28"/>
      <c r="AH11" s="57"/>
      <c r="AI11" s="57"/>
      <c r="AJ11" s="26"/>
      <c r="AK11" s="56"/>
      <c r="AL11" s="26"/>
      <c r="AM11" s="28"/>
      <c r="AN11" s="28"/>
      <c r="AO11" s="28"/>
      <c r="AP11" s="66"/>
      <c r="AQ11" s="67"/>
      <c r="AR11" s="68"/>
      <c r="AS11" s="68"/>
      <c r="AT11" s="67" t="s">
        <v>27</v>
      </c>
      <c r="AU11" s="69" t="s">
        <v>102</v>
      </c>
      <c r="AV11" s="70"/>
      <c r="AW11" s="70"/>
      <c r="AX11" s="71"/>
      <c r="AY11" s="71"/>
      <c r="AZ11" s="71"/>
      <c r="BA11" s="71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</row>
    <row r="12" spans="1:69" x14ac:dyDescent="0.2">
      <c r="A12" s="27" t="s">
        <v>12</v>
      </c>
      <c r="B12" s="52" t="s">
        <v>13</v>
      </c>
      <c r="C12" s="27" t="s">
        <v>14</v>
      </c>
      <c r="D12" s="35">
        <v>11</v>
      </c>
      <c r="E12" s="439" t="s">
        <v>88</v>
      </c>
      <c r="F12" s="439" t="s">
        <v>103</v>
      </c>
      <c r="G12" s="439" t="s">
        <v>104</v>
      </c>
      <c r="H12" s="29" t="s">
        <v>14</v>
      </c>
      <c r="I12" s="576" t="s">
        <v>105</v>
      </c>
      <c r="J12" s="47" t="s">
        <v>19</v>
      </c>
      <c r="K12" s="27" t="s">
        <v>106</v>
      </c>
      <c r="L12" s="27" t="s">
        <v>21</v>
      </c>
      <c r="M12" s="27" t="s">
        <v>107</v>
      </c>
      <c r="N12" s="27" t="s">
        <v>23</v>
      </c>
      <c r="O12" s="30" t="s">
        <v>108</v>
      </c>
      <c r="P12" s="30"/>
      <c r="Q12" s="27" t="s">
        <v>41</v>
      </c>
      <c r="R12" s="27" t="s">
        <v>223</v>
      </c>
      <c r="S12" s="27"/>
      <c r="T12" s="29"/>
      <c r="U12" s="27"/>
      <c r="V12" s="27"/>
      <c r="W12" s="27"/>
      <c r="X12" s="27"/>
      <c r="Y12" s="23"/>
      <c r="Z12" s="30"/>
      <c r="AA12" s="30"/>
      <c r="AB12" s="26"/>
      <c r="AC12" s="27"/>
      <c r="AD12" s="2"/>
      <c r="AE12" s="26"/>
      <c r="AF12" s="28"/>
      <c r="AG12" s="28"/>
      <c r="AH12" s="57"/>
      <c r="AI12" s="57"/>
      <c r="AJ12" s="57"/>
      <c r="AK12" s="57"/>
      <c r="AL12" s="28"/>
      <c r="AM12" s="28"/>
      <c r="AN12" s="28"/>
      <c r="AO12" s="28"/>
      <c r="AP12" s="72"/>
      <c r="AQ12" s="73"/>
      <c r="AR12" s="74"/>
      <c r="AS12" s="74"/>
      <c r="AT12" s="73" t="s">
        <v>27</v>
      </c>
      <c r="AU12" s="75" t="s">
        <v>109</v>
      </c>
      <c r="AV12" s="76"/>
      <c r="AW12" s="76"/>
      <c r="AX12" s="77"/>
      <c r="AY12" s="77"/>
      <c r="AZ12" s="77"/>
      <c r="BA12" s="77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</row>
    <row r="13" spans="1:69" x14ac:dyDescent="0.2">
      <c r="A13" s="27" t="s">
        <v>12</v>
      </c>
      <c r="B13" s="52" t="s">
        <v>2256</v>
      </c>
      <c r="C13" s="27" t="s">
        <v>14</v>
      </c>
      <c r="D13" s="78">
        <v>12</v>
      </c>
      <c r="E13" s="36"/>
      <c r="F13" s="37" t="s">
        <v>29</v>
      </c>
      <c r="G13" s="38"/>
      <c r="H13" s="29" t="s">
        <v>14</v>
      </c>
      <c r="I13" s="579" t="s">
        <v>112</v>
      </c>
      <c r="J13" s="29" t="s">
        <v>19</v>
      </c>
      <c r="K13" s="29">
        <v>518624</v>
      </c>
      <c r="L13" s="29" t="s">
        <v>58</v>
      </c>
      <c r="M13" s="48" t="s">
        <v>113</v>
      </c>
      <c r="N13" s="27" t="s">
        <v>23</v>
      </c>
      <c r="O13" s="25" t="s">
        <v>114</v>
      </c>
      <c r="P13" s="25"/>
      <c r="Q13" s="51" t="s">
        <v>115</v>
      </c>
      <c r="R13" s="51" t="s">
        <v>116</v>
      </c>
      <c r="S13" s="29" t="s">
        <v>117</v>
      </c>
      <c r="T13" s="47" t="s">
        <v>118</v>
      </c>
      <c r="U13" s="47" t="s">
        <v>119</v>
      </c>
      <c r="V13" s="27" t="s">
        <v>120</v>
      </c>
      <c r="W13" s="27" t="s">
        <v>21</v>
      </c>
      <c r="X13" s="47" t="s">
        <v>121</v>
      </c>
      <c r="Y13" s="27" t="s">
        <v>122</v>
      </c>
      <c r="Z13" s="27" t="s">
        <v>123</v>
      </c>
      <c r="AA13" s="23"/>
      <c r="AB13" s="24"/>
      <c r="AC13" s="30"/>
      <c r="AD13" s="56"/>
      <c r="AE13" s="27"/>
      <c r="AF13" s="2"/>
      <c r="AG13" s="26"/>
      <c r="AH13" s="28"/>
      <c r="AI13" s="28"/>
      <c r="AJ13" s="57"/>
      <c r="AK13" s="57"/>
      <c r="AL13" s="57"/>
      <c r="AM13" s="57"/>
      <c r="AN13" s="28"/>
      <c r="AO13" s="28"/>
      <c r="AP13" s="28"/>
      <c r="AQ13" s="28"/>
      <c r="AR13" s="58"/>
      <c r="AS13" s="80"/>
      <c r="AT13" s="42"/>
      <c r="AU13" s="42"/>
      <c r="AV13" s="32" t="s">
        <v>27</v>
      </c>
      <c r="AW13" s="33" t="s">
        <v>124</v>
      </c>
      <c r="AX13" s="81"/>
      <c r="AY13" s="81"/>
      <c r="AZ13" s="80"/>
      <c r="BA13" s="80"/>
      <c r="BB13" s="80"/>
      <c r="BC13" s="80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</row>
    <row r="14" spans="1:69" x14ac:dyDescent="0.2">
      <c r="A14" s="27" t="s">
        <v>12</v>
      </c>
      <c r="B14" s="52" t="s">
        <v>2256</v>
      </c>
      <c r="C14" s="27" t="s">
        <v>14</v>
      </c>
      <c r="D14" s="78">
        <v>13</v>
      </c>
      <c r="E14" s="36"/>
      <c r="F14" s="37" t="s">
        <v>29</v>
      </c>
      <c r="G14" s="38"/>
      <c r="H14" s="29" t="s">
        <v>14</v>
      </c>
      <c r="I14" s="580" t="s">
        <v>125</v>
      </c>
      <c r="J14" s="39"/>
      <c r="K14" s="39"/>
      <c r="L14" s="27" t="s">
        <v>58</v>
      </c>
      <c r="M14" s="48" t="s">
        <v>126</v>
      </c>
      <c r="N14" s="30" t="s">
        <v>23</v>
      </c>
      <c r="O14" s="30"/>
      <c r="P14" s="30"/>
      <c r="Q14" s="27"/>
      <c r="R14" s="27"/>
      <c r="S14" s="30"/>
      <c r="T14" s="24"/>
      <c r="U14" s="30"/>
      <c r="V14" s="30"/>
      <c r="W14" s="30"/>
      <c r="X14" s="30"/>
      <c r="Y14" s="23"/>
      <c r="Z14" s="24"/>
      <c r="AA14" s="30"/>
      <c r="AB14" s="48"/>
      <c r="AC14" s="27"/>
      <c r="AD14" s="2"/>
      <c r="AE14" s="48"/>
      <c r="AF14" s="48"/>
      <c r="AG14" s="48"/>
      <c r="AH14" s="48"/>
      <c r="AI14" s="29"/>
      <c r="AJ14" s="25"/>
      <c r="AK14" s="24"/>
      <c r="AL14" s="25"/>
      <c r="AM14" s="24"/>
      <c r="AN14" s="25"/>
      <c r="AO14" s="24"/>
      <c r="AP14" s="82"/>
      <c r="AQ14" s="80"/>
      <c r="AR14" s="42"/>
      <c r="AS14" s="42"/>
      <c r="AT14" s="32" t="s">
        <v>27</v>
      </c>
      <c r="AU14" s="33" t="s">
        <v>127</v>
      </c>
      <c r="AV14" s="81"/>
      <c r="AW14" s="81"/>
      <c r="AX14" s="80"/>
      <c r="AY14" s="80"/>
      <c r="AZ14" s="80"/>
      <c r="BA14" s="80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</row>
    <row r="15" spans="1:69" x14ac:dyDescent="0.2">
      <c r="A15" s="14" t="s">
        <v>12</v>
      </c>
      <c r="B15" s="83" t="s">
        <v>13</v>
      </c>
      <c r="C15" s="14" t="s">
        <v>14</v>
      </c>
      <c r="D15" s="84">
        <v>14</v>
      </c>
      <c r="E15" s="453" t="s">
        <v>88</v>
      </c>
      <c r="F15" s="473" t="s">
        <v>128</v>
      </c>
      <c r="G15" s="454" t="s">
        <v>129</v>
      </c>
      <c r="H15" s="19" t="s">
        <v>14</v>
      </c>
      <c r="I15" s="577" t="s">
        <v>130</v>
      </c>
      <c r="J15" s="20" t="s">
        <v>19</v>
      </c>
      <c r="K15" s="21" t="s">
        <v>131</v>
      </c>
      <c r="L15" s="14" t="s">
        <v>21</v>
      </c>
      <c r="M15" s="21" t="s">
        <v>132</v>
      </c>
      <c r="N15" s="22" t="s">
        <v>23</v>
      </c>
      <c r="O15" s="15" t="s">
        <v>133</v>
      </c>
      <c r="P15" s="15"/>
      <c r="Q15" s="86"/>
      <c r="R15" s="86"/>
      <c r="S15" s="86"/>
      <c r="T15" s="86"/>
      <c r="U15" s="86"/>
      <c r="V15" s="86"/>
      <c r="W15" s="86"/>
      <c r="X15" s="86"/>
      <c r="Y15" s="23"/>
      <c r="Z15" s="30"/>
      <c r="AA15" s="30"/>
      <c r="AB15" s="48"/>
      <c r="AC15" s="48"/>
      <c r="AD15" s="2"/>
      <c r="AE15" s="48"/>
      <c r="AF15" s="48"/>
      <c r="AG15" s="48"/>
      <c r="AH15" s="48"/>
      <c r="AI15" s="29"/>
      <c r="AJ15" s="25"/>
      <c r="AK15" s="24"/>
      <c r="AL15" s="25"/>
      <c r="AM15" s="24"/>
      <c r="AN15" s="25"/>
      <c r="AO15" s="24"/>
      <c r="AP15" s="82"/>
      <c r="AQ15" s="80"/>
      <c r="AR15" s="42"/>
      <c r="AS15" s="42"/>
      <c r="AT15" s="32" t="s">
        <v>27</v>
      </c>
      <c r="AU15" s="33" t="s">
        <v>134</v>
      </c>
      <c r="AV15" s="81"/>
      <c r="AW15" s="81"/>
      <c r="AX15" s="80"/>
      <c r="AY15" s="80"/>
      <c r="AZ15" s="80"/>
      <c r="BA15" s="80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</row>
    <row r="16" spans="1:69" x14ac:dyDescent="0.2">
      <c r="A16" s="27" t="s">
        <v>12</v>
      </c>
      <c r="B16" s="52" t="s">
        <v>13</v>
      </c>
      <c r="C16" s="27" t="s">
        <v>14</v>
      </c>
      <c r="D16" s="78">
        <v>15</v>
      </c>
      <c r="E16" s="450" t="s">
        <v>88</v>
      </c>
      <c r="F16" s="451" t="s">
        <v>135</v>
      </c>
      <c r="G16" s="440" t="s">
        <v>129</v>
      </c>
      <c r="H16" s="29" t="s">
        <v>14</v>
      </c>
      <c r="I16" s="580" t="s">
        <v>136</v>
      </c>
      <c r="J16" s="47" t="s">
        <v>19</v>
      </c>
      <c r="K16" s="48" t="s">
        <v>137</v>
      </c>
      <c r="L16" s="27" t="s">
        <v>21</v>
      </c>
      <c r="M16" s="48" t="s">
        <v>138</v>
      </c>
      <c r="N16" s="27" t="s">
        <v>2239</v>
      </c>
      <c r="O16" s="40" t="s">
        <v>716</v>
      </c>
      <c r="P16" s="40"/>
      <c r="Q16" s="51" t="s">
        <v>115</v>
      </c>
      <c r="R16" s="48" t="s">
        <v>140</v>
      </c>
      <c r="S16" s="48"/>
      <c r="T16" s="87"/>
      <c r="U16" s="48"/>
      <c r="V16" s="48"/>
      <c r="W16" s="27"/>
      <c r="X16" s="27"/>
      <c r="Y16" s="23"/>
      <c r="Z16" s="24"/>
      <c r="AA16" s="30"/>
      <c r="AB16" s="48"/>
      <c r="AC16" s="48"/>
      <c r="AD16" s="2"/>
      <c r="AE16" s="26"/>
      <c r="AF16" s="48"/>
      <c r="AG16" s="48"/>
      <c r="AH16" s="48"/>
      <c r="AI16" s="29"/>
      <c r="AJ16" s="25" t="s">
        <v>25</v>
      </c>
      <c r="AK16" s="24">
        <v>25805</v>
      </c>
      <c r="AL16" s="25" t="s">
        <v>50</v>
      </c>
      <c r="AM16" s="24">
        <v>2738</v>
      </c>
      <c r="AN16" s="25"/>
      <c r="AO16" s="24"/>
      <c r="AP16" s="82"/>
      <c r="AQ16" s="80"/>
      <c r="AR16" s="33"/>
      <c r="AS16" s="33"/>
      <c r="AT16" s="32" t="s">
        <v>27</v>
      </c>
      <c r="AU16" s="49" t="s">
        <v>141</v>
      </c>
      <c r="AV16" s="54"/>
      <c r="AW16" s="54"/>
      <c r="AX16" s="34"/>
      <c r="AY16" s="34"/>
      <c r="AZ16" s="49"/>
      <c r="BA16" s="49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</row>
    <row r="17" spans="1:71" x14ac:dyDescent="0.2">
      <c r="A17" s="27" t="s">
        <v>12</v>
      </c>
      <c r="B17" s="52" t="s">
        <v>13</v>
      </c>
      <c r="C17" s="27" t="s">
        <v>14</v>
      </c>
      <c r="D17" s="78">
        <v>16</v>
      </c>
      <c r="E17" s="450" t="s">
        <v>88</v>
      </c>
      <c r="F17" s="441" t="s">
        <v>142</v>
      </c>
      <c r="G17" s="440" t="s">
        <v>143</v>
      </c>
      <c r="H17" s="29" t="s">
        <v>14</v>
      </c>
      <c r="I17" s="580" t="s">
        <v>144</v>
      </c>
      <c r="J17" s="47" t="s">
        <v>19</v>
      </c>
      <c r="K17" s="48" t="s">
        <v>145</v>
      </c>
      <c r="L17" s="27" t="s">
        <v>21</v>
      </c>
      <c r="M17" s="48" t="s">
        <v>146</v>
      </c>
      <c r="N17" s="48" t="s">
        <v>23</v>
      </c>
      <c r="O17" s="25" t="s">
        <v>147</v>
      </c>
      <c r="P17" s="25"/>
      <c r="Q17" s="48"/>
      <c r="R17" s="48"/>
      <c r="S17" s="48"/>
      <c r="T17" s="48"/>
      <c r="U17" s="29"/>
      <c r="V17" s="29"/>
      <c r="W17" s="27"/>
      <c r="X17" s="27"/>
      <c r="Y17" s="23"/>
      <c r="Z17" s="24"/>
      <c r="AA17" s="30"/>
      <c r="AB17" s="63"/>
      <c r="AC17" s="48"/>
      <c r="AD17" s="2"/>
      <c r="AE17" s="26"/>
      <c r="AF17" s="48"/>
      <c r="AG17" s="48"/>
      <c r="AH17" s="48"/>
      <c r="AI17" s="29"/>
      <c r="AJ17" s="25"/>
      <c r="AK17" s="24"/>
      <c r="AL17" s="25"/>
      <c r="AM17" s="24"/>
      <c r="AN17" s="25"/>
      <c r="AO17" s="24"/>
      <c r="AP17" s="82"/>
      <c r="AQ17" s="80"/>
      <c r="AR17" s="33"/>
      <c r="AS17" s="33"/>
      <c r="AT17" s="32" t="s">
        <v>27</v>
      </c>
      <c r="AU17" s="49" t="s">
        <v>148</v>
      </c>
      <c r="AV17" s="34"/>
      <c r="AW17" s="34"/>
      <c r="AX17" s="49"/>
      <c r="AY17" s="49"/>
      <c r="AZ17" s="49"/>
      <c r="BA17" s="49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</row>
    <row r="18" spans="1:71" x14ac:dyDescent="0.2">
      <c r="A18" s="27" t="s">
        <v>12</v>
      </c>
      <c r="B18" s="52" t="s">
        <v>13</v>
      </c>
      <c r="C18" s="27" t="s">
        <v>14</v>
      </c>
      <c r="D18" s="53">
        <v>17</v>
      </c>
      <c r="E18" s="456" t="s">
        <v>44</v>
      </c>
      <c r="F18" s="441" t="s">
        <v>149</v>
      </c>
      <c r="G18" s="440" t="s">
        <v>150</v>
      </c>
      <c r="H18" s="29" t="s">
        <v>14</v>
      </c>
      <c r="I18" s="581" t="s">
        <v>151</v>
      </c>
      <c r="J18" s="47" t="s">
        <v>19</v>
      </c>
      <c r="K18" s="27" t="s">
        <v>152</v>
      </c>
      <c r="L18" s="27" t="s">
        <v>21</v>
      </c>
      <c r="M18" s="27" t="s">
        <v>153</v>
      </c>
      <c r="N18" s="27" t="s">
        <v>23</v>
      </c>
      <c r="O18" s="40">
        <v>6543972</v>
      </c>
      <c r="P18" s="40"/>
      <c r="Q18" s="47"/>
      <c r="R18" s="47"/>
      <c r="S18" s="47"/>
      <c r="T18" s="47"/>
      <c r="U18" s="47"/>
      <c r="V18" s="47"/>
      <c r="W18" s="27"/>
      <c r="X18" s="27"/>
      <c r="Y18" s="23"/>
      <c r="Z18" s="24"/>
      <c r="AA18" s="30"/>
      <c r="AB18" s="47"/>
      <c r="AC18" s="47"/>
      <c r="AD18" s="2"/>
      <c r="AE18" s="47"/>
      <c r="AF18" s="47"/>
      <c r="AG18" s="47"/>
      <c r="AH18" s="47"/>
      <c r="AI18" s="47"/>
      <c r="AJ18" s="51" t="s">
        <v>32</v>
      </c>
      <c r="AK18" s="51" t="s">
        <v>154</v>
      </c>
      <c r="AL18" s="51"/>
      <c r="AM18" s="51"/>
      <c r="AN18" s="51"/>
      <c r="AO18" s="51"/>
      <c r="AP18" s="91"/>
      <c r="AQ18" s="49"/>
      <c r="AR18" s="49"/>
      <c r="AS18" s="49"/>
      <c r="AT18" s="32" t="s">
        <v>27</v>
      </c>
      <c r="AU18" s="49" t="s">
        <v>155</v>
      </c>
      <c r="AV18" s="34"/>
      <c r="AW18" s="34"/>
      <c r="AX18" s="32"/>
      <c r="AY18" s="32"/>
      <c r="AZ18" s="32"/>
      <c r="BA18" s="32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</row>
    <row r="19" spans="1:71" x14ac:dyDescent="0.2">
      <c r="A19" s="27" t="s">
        <v>12</v>
      </c>
      <c r="B19" s="52" t="s">
        <v>13</v>
      </c>
      <c r="C19" s="27" t="s">
        <v>14</v>
      </c>
      <c r="D19" s="53">
        <v>18</v>
      </c>
      <c r="E19" s="438" t="s">
        <v>34</v>
      </c>
      <c r="F19" s="439" t="s">
        <v>156</v>
      </c>
      <c r="G19" s="440" t="s">
        <v>157</v>
      </c>
      <c r="H19" s="29" t="s">
        <v>14</v>
      </c>
      <c r="I19" s="573" t="s">
        <v>158</v>
      </c>
      <c r="J19" s="47" t="s">
        <v>19</v>
      </c>
      <c r="K19" s="47" t="s">
        <v>159</v>
      </c>
      <c r="L19" s="27" t="s">
        <v>58</v>
      </c>
      <c r="M19" s="47" t="s">
        <v>522</v>
      </c>
      <c r="N19" s="25" t="s">
        <v>23</v>
      </c>
      <c r="O19" s="30" t="s">
        <v>67</v>
      </c>
      <c r="P19" s="30"/>
      <c r="Q19" s="51" t="s">
        <v>115</v>
      </c>
      <c r="R19" s="30" t="s">
        <v>162</v>
      </c>
      <c r="S19" s="47" t="s">
        <v>41</v>
      </c>
      <c r="T19" s="47" t="s">
        <v>42</v>
      </c>
      <c r="U19" s="497"/>
      <c r="V19" s="51"/>
      <c r="W19" s="51"/>
      <c r="X19" s="51"/>
      <c r="Y19" s="30"/>
      <c r="Z19" s="30"/>
      <c r="AA19" s="23"/>
      <c r="AB19" s="24"/>
      <c r="AC19" s="30"/>
      <c r="AD19" s="47"/>
      <c r="AE19" s="47"/>
      <c r="AF19" s="2"/>
      <c r="AG19" s="47"/>
      <c r="AH19" s="47"/>
      <c r="AI19" s="47"/>
      <c r="AJ19" s="47"/>
      <c r="AK19" s="47"/>
      <c r="AL19" s="51"/>
      <c r="AM19" s="51"/>
      <c r="AN19" s="51"/>
      <c r="AO19" s="51"/>
      <c r="AP19" s="51"/>
      <c r="AQ19" s="51"/>
      <c r="AR19" s="91"/>
      <c r="AS19" s="49"/>
      <c r="AT19" s="49"/>
      <c r="AU19" s="49"/>
      <c r="AV19" s="32" t="s">
        <v>27</v>
      </c>
      <c r="AW19" s="49" t="s">
        <v>164</v>
      </c>
      <c r="AX19" s="54"/>
      <c r="AY19" s="54"/>
      <c r="AZ19" s="49"/>
      <c r="BA19" s="49"/>
      <c r="BB19" s="49"/>
      <c r="BC19" s="49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</row>
    <row r="20" spans="1:71" x14ac:dyDescent="0.2">
      <c r="A20" s="27" t="s">
        <v>12</v>
      </c>
      <c r="B20" s="52" t="s">
        <v>13</v>
      </c>
      <c r="C20" s="27" t="s">
        <v>14</v>
      </c>
      <c r="D20" s="53">
        <v>19</v>
      </c>
      <c r="E20" s="439" t="s">
        <v>445</v>
      </c>
      <c r="F20" s="439" t="s">
        <v>2237</v>
      </c>
      <c r="G20" s="439" t="s">
        <v>2206</v>
      </c>
      <c r="H20" s="29" t="s">
        <v>14</v>
      </c>
      <c r="I20" s="579" t="s">
        <v>166</v>
      </c>
      <c r="J20" s="47" t="s">
        <v>19</v>
      </c>
      <c r="K20" s="48" t="s">
        <v>167</v>
      </c>
      <c r="L20" s="29" t="s">
        <v>21</v>
      </c>
      <c r="M20" s="27">
        <v>260899</v>
      </c>
      <c r="N20" s="497"/>
      <c r="O20" s="514">
        <v>6517971</v>
      </c>
      <c r="P20" s="534" t="s">
        <v>2236</v>
      </c>
      <c r="Q20" s="29" t="s">
        <v>168</v>
      </c>
      <c r="R20" s="27" t="s">
        <v>169</v>
      </c>
      <c r="S20" s="27" t="s">
        <v>119</v>
      </c>
      <c r="T20" s="29" t="s">
        <v>170</v>
      </c>
      <c r="U20" s="27" t="s">
        <v>21</v>
      </c>
      <c r="V20" s="27" t="s">
        <v>171</v>
      </c>
      <c r="W20" s="27" t="s">
        <v>122</v>
      </c>
      <c r="X20" s="27" t="s">
        <v>172</v>
      </c>
      <c r="Y20" s="23"/>
      <c r="Z20" s="93"/>
      <c r="AA20" s="24"/>
      <c r="AB20" s="56"/>
      <c r="AC20" s="27"/>
      <c r="AD20" s="2"/>
      <c r="AE20" s="27"/>
      <c r="AF20" s="27"/>
      <c r="AG20" s="27"/>
      <c r="AH20" s="27"/>
      <c r="AI20" s="47"/>
      <c r="AJ20" s="30"/>
      <c r="AK20" s="51"/>
      <c r="AL20" s="30"/>
      <c r="AM20" s="51"/>
      <c r="AN20" s="30"/>
      <c r="AO20" s="51"/>
      <c r="AP20" s="31"/>
      <c r="AQ20" s="32"/>
      <c r="AR20" s="49"/>
      <c r="AS20" s="49"/>
      <c r="AT20" s="32" t="s">
        <v>27</v>
      </c>
      <c r="AU20" s="49" t="s">
        <v>173</v>
      </c>
      <c r="AV20" s="49"/>
      <c r="AW20" s="49"/>
      <c r="AX20" s="49"/>
      <c r="AY20" s="49"/>
      <c r="AZ20" s="49"/>
      <c r="BA20" s="49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</row>
    <row r="21" spans="1:71" x14ac:dyDescent="0.2">
      <c r="A21" s="27" t="s">
        <v>12</v>
      </c>
      <c r="B21" s="52" t="s">
        <v>13</v>
      </c>
      <c r="C21" s="27" t="s">
        <v>14</v>
      </c>
      <c r="D21" s="53">
        <v>20</v>
      </c>
      <c r="E21" s="438" t="s">
        <v>34</v>
      </c>
      <c r="F21" s="441" t="s">
        <v>174</v>
      </c>
      <c r="G21" s="440" t="s">
        <v>175</v>
      </c>
      <c r="H21" s="29" t="s">
        <v>14</v>
      </c>
      <c r="I21" s="573" t="s">
        <v>176</v>
      </c>
      <c r="J21" s="47" t="s">
        <v>19</v>
      </c>
      <c r="K21" s="27" t="s">
        <v>177</v>
      </c>
      <c r="L21" s="27" t="s">
        <v>21</v>
      </c>
      <c r="M21" s="27" t="s">
        <v>178</v>
      </c>
      <c r="N21" s="27" t="s">
        <v>23</v>
      </c>
      <c r="O21" s="25" t="s">
        <v>179</v>
      </c>
      <c r="P21" s="25"/>
      <c r="Q21" s="47"/>
      <c r="R21" s="47"/>
      <c r="S21" s="47"/>
      <c r="T21" s="47"/>
      <c r="U21" s="47"/>
      <c r="V21" s="47"/>
      <c r="W21" s="27"/>
      <c r="X21" s="27"/>
      <c r="Y21" s="23"/>
      <c r="Z21" s="24"/>
      <c r="AA21" s="30"/>
      <c r="AB21" s="47"/>
      <c r="AC21" s="47"/>
      <c r="AD21" s="2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94"/>
      <c r="AQ21" s="95"/>
      <c r="AR21" s="95"/>
      <c r="AS21" s="95"/>
      <c r="AT21" s="96" t="s">
        <v>27</v>
      </c>
      <c r="AU21" s="68" t="s">
        <v>180</v>
      </c>
      <c r="AV21" s="96"/>
      <c r="AW21" s="96"/>
      <c r="AX21" s="70"/>
      <c r="AY21" s="70"/>
      <c r="AZ21" s="70"/>
      <c r="BA21" s="70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</row>
    <row r="22" spans="1:71" x14ac:dyDescent="0.2">
      <c r="A22" s="27" t="s">
        <v>87</v>
      </c>
      <c r="B22" s="52" t="s">
        <v>13</v>
      </c>
      <c r="C22" s="27" t="s">
        <v>14</v>
      </c>
      <c r="D22" s="53">
        <v>21</v>
      </c>
      <c r="E22" s="480" t="s">
        <v>34</v>
      </c>
      <c r="F22" s="468" t="s">
        <v>892</v>
      </c>
      <c r="G22" s="469" t="s">
        <v>893</v>
      </c>
      <c r="H22" s="29" t="s">
        <v>14</v>
      </c>
      <c r="I22" s="573" t="s">
        <v>183</v>
      </c>
      <c r="J22" s="47" t="s">
        <v>2200</v>
      </c>
      <c r="K22" s="27" t="s">
        <v>515</v>
      </c>
      <c r="L22" s="27" t="s">
        <v>21</v>
      </c>
      <c r="M22" s="27" t="s">
        <v>160</v>
      </c>
      <c r="N22" s="48" t="s">
        <v>23</v>
      </c>
      <c r="O22" s="30" t="s">
        <v>2201</v>
      </c>
      <c r="P22" s="30"/>
      <c r="Q22" s="2"/>
      <c r="R22" s="2"/>
      <c r="S22" s="2"/>
      <c r="T22" s="2"/>
      <c r="U22" s="2"/>
      <c r="V22" s="2"/>
      <c r="W22" s="27"/>
      <c r="X22" s="27"/>
      <c r="Y22" s="97"/>
      <c r="Z22" s="29"/>
      <c r="AA22" s="27"/>
      <c r="AB22" s="47"/>
      <c r="AC22" s="47"/>
      <c r="AD22" s="2"/>
      <c r="AE22" s="47"/>
      <c r="AF22" s="47"/>
      <c r="AG22" s="47"/>
      <c r="AH22" s="47"/>
      <c r="AI22" s="47"/>
      <c r="AJ22" s="47" t="s">
        <v>32</v>
      </c>
      <c r="AK22" s="47" t="s">
        <v>187</v>
      </c>
      <c r="AL22" s="47"/>
      <c r="AM22" s="47"/>
      <c r="AN22" s="47"/>
      <c r="AO22" s="47"/>
      <c r="AP22" s="98"/>
      <c r="AQ22" s="99"/>
      <c r="AR22" s="99"/>
      <c r="AS22" s="99"/>
      <c r="AT22" s="100" t="s">
        <v>27</v>
      </c>
      <c r="AU22" s="74" t="s">
        <v>188</v>
      </c>
      <c r="AV22" s="76"/>
      <c r="AW22" s="76"/>
      <c r="AX22" s="76"/>
      <c r="AY22" s="76"/>
      <c r="AZ22" s="76"/>
      <c r="BA22" s="76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</row>
    <row r="23" spans="1:71" x14ac:dyDescent="0.2">
      <c r="A23" s="27" t="s">
        <v>12</v>
      </c>
      <c r="B23" s="52" t="s">
        <v>13</v>
      </c>
      <c r="C23" s="27" t="s">
        <v>14</v>
      </c>
      <c r="D23" s="78">
        <v>22</v>
      </c>
      <c r="E23" s="440" t="s">
        <v>88</v>
      </c>
      <c r="F23" s="452" t="s">
        <v>189</v>
      </c>
      <c r="G23" s="440" t="s">
        <v>190</v>
      </c>
      <c r="H23" s="29" t="s">
        <v>14</v>
      </c>
      <c r="I23" s="580" t="s">
        <v>191</v>
      </c>
      <c r="J23" s="59" t="s">
        <v>19</v>
      </c>
      <c r="K23" s="101" t="s">
        <v>192</v>
      </c>
      <c r="L23" s="27" t="s">
        <v>21</v>
      </c>
      <c r="M23" s="48" t="s">
        <v>193</v>
      </c>
      <c r="N23" s="30" t="s">
        <v>23</v>
      </c>
      <c r="O23" s="51" t="s">
        <v>194</v>
      </c>
      <c r="P23" s="51"/>
      <c r="Q23" s="47"/>
      <c r="R23" s="47"/>
      <c r="S23" s="51"/>
      <c r="T23" s="51"/>
      <c r="U23" s="51"/>
      <c r="V23" s="51"/>
      <c r="W23" s="30"/>
      <c r="X23" s="30"/>
      <c r="Y23" s="23"/>
      <c r="Z23" s="24"/>
      <c r="AA23" s="30"/>
      <c r="AB23" s="47"/>
      <c r="AC23" s="47"/>
      <c r="AD23" s="2"/>
      <c r="AE23" s="47"/>
      <c r="AF23" s="47"/>
      <c r="AG23" s="47"/>
      <c r="AH23" s="47"/>
      <c r="AI23" s="47"/>
      <c r="AJ23" s="25" t="s">
        <v>195</v>
      </c>
      <c r="AK23" s="24">
        <v>237890</v>
      </c>
      <c r="AL23" s="25" t="s">
        <v>50</v>
      </c>
      <c r="AM23" s="24">
        <v>5101</v>
      </c>
      <c r="AN23" s="25" t="s">
        <v>196</v>
      </c>
      <c r="AO23" s="24">
        <v>34543</v>
      </c>
      <c r="AP23" s="82"/>
      <c r="AQ23" s="80"/>
      <c r="AR23" s="33"/>
      <c r="AS23" s="33"/>
      <c r="AT23" s="32" t="s">
        <v>27</v>
      </c>
      <c r="AU23" s="102" t="s">
        <v>197</v>
      </c>
      <c r="AV23" s="80"/>
      <c r="AW23" s="80"/>
      <c r="AX23" s="80"/>
      <c r="AY23" s="80"/>
      <c r="AZ23" s="80"/>
      <c r="BA23" s="80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</row>
    <row r="24" spans="1:71" x14ac:dyDescent="0.2">
      <c r="A24" s="30" t="s">
        <v>12</v>
      </c>
      <c r="B24" s="52" t="s">
        <v>13</v>
      </c>
      <c r="C24" s="30" t="s">
        <v>14</v>
      </c>
      <c r="D24" s="103">
        <v>23</v>
      </c>
      <c r="E24" s="474" t="s">
        <v>34</v>
      </c>
      <c r="F24" s="451" t="s">
        <v>198</v>
      </c>
      <c r="G24" s="440" t="s">
        <v>199</v>
      </c>
      <c r="H24" s="29" t="s">
        <v>14</v>
      </c>
      <c r="I24" s="580" t="s">
        <v>200</v>
      </c>
      <c r="J24" s="47" t="s">
        <v>19</v>
      </c>
      <c r="K24" s="48" t="s">
        <v>201</v>
      </c>
      <c r="L24" s="27" t="s">
        <v>21</v>
      </c>
      <c r="M24" s="48" t="s">
        <v>202</v>
      </c>
      <c r="N24" s="25" t="s">
        <v>23</v>
      </c>
      <c r="O24" s="25" t="s">
        <v>203</v>
      </c>
      <c r="P24" s="25"/>
      <c r="Q24" s="51" t="s">
        <v>115</v>
      </c>
      <c r="R24" s="2">
        <v>210832</v>
      </c>
      <c r="S24" s="93"/>
      <c r="T24" s="93"/>
      <c r="U24" s="93"/>
      <c r="V24" s="93"/>
      <c r="W24" s="30"/>
      <c r="X24" s="30"/>
      <c r="Y24" s="23"/>
      <c r="Z24" s="24"/>
      <c r="AA24" s="30"/>
      <c r="AB24" s="48"/>
      <c r="AC24" s="48"/>
      <c r="AD24" s="2"/>
      <c r="AE24" s="48"/>
      <c r="AF24" s="48"/>
      <c r="AG24" s="48"/>
      <c r="AH24" s="48"/>
      <c r="AI24" s="29"/>
      <c r="AJ24" s="25"/>
      <c r="AK24" s="24"/>
      <c r="AL24" s="25"/>
      <c r="AM24" s="24"/>
      <c r="AN24" s="25"/>
      <c r="AO24" s="24"/>
      <c r="AP24" s="82"/>
      <c r="AQ24" s="80"/>
      <c r="AR24" s="33"/>
      <c r="AS24" s="33"/>
      <c r="AT24" s="32" t="s">
        <v>27</v>
      </c>
      <c r="AU24" s="33" t="s">
        <v>204</v>
      </c>
      <c r="AV24" s="80"/>
      <c r="AW24" s="80"/>
      <c r="AX24" s="80"/>
      <c r="AY24" s="80"/>
      <c r="AZ24" s="80"/>
      <c r="BA24" s="80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</row>
    <row r="25" spans="1:71" x14ac:dyDescent="0.2">
      <c r="A25" s="27" t="s">
        <v>12</v>
      </c>
      <c r="B25" s="52" t="s">
        <v>13</v>
      </c>
      <c r="C25" s="27" t="s">
        <v>14</v>
      </c>
      <c r="D25" s="78">
        <v>24</v>
      </c>
      <c r="E25" s="439" t="s">
        <v>44</v>
      </c>
      <c r="F25" s="439" t="s">
        <v>205</v>
      </c>
      <c r="G25" s="439" t="s">
        <v>206</v>
      </c>
      <c r="H25" s="29" t="s">
        <v>14</v>
      </c>
      <c r="I25" s="581" t="s">
        <v>207</v>
      </c>
      <c r="J25" s="47" t="s">
        <v>74</v>
      </c>
      <c r="K25" s="48" t="s">
        <v>208</v>
      </c>
      <c r="L25" s="27" t="s">
        <v>21</v>
      </c>
      <c r="M25" s="48" t="s">
        <v>209</v>
      </c>
      <c r="N25" s="27" t="s">
        <v>23</v>
      </c>
      <c r="O25" s="30" t="s">
        <v>210</v>
      </c>
      <c r="P25" s="30"/>
      <c r="Q25" s="30" t="s">
        <v>101</v>
      </c>
      <c r="R25" s="30" t="s">
        <v>211</v>
      </c>
      <c r="S25" s="29" t="s">
        <v>168</v>
      </c>
      <c r="T25" s="48" t="s">
        <v>212</v>
      </c>
      <c r="U25" s="47" t="s">
        <v>74</v>
      </c>
      <c r="V25" s="48" t="s">
        <v>213</v>
      </c>
      <c r="W25" s="27" t="s">
        <v>21</v>
      </c>
      <c r="X25" s="27" t="s">
        <v>214</v>
      </c>
      <c r="Y25" s="27" t="s">
        <v>122</v>
      </c>
      <c r="Z25" s="27" t="s">
        <v>215</v>
      </c>
      <c r="AA25" s="23"/>
      <c r="AB25" s="24"/>
      <c r="AC25" s="30"/>
      <c r="AD25" s="56"/>
      <c r="AE25" s="27"/>
      <c r="AF25" s="2"/>
      <c r="AG25" s="28"/>
      <c r="AH25" s="27"/>
      <c r="AI25" s="27"/>
      <c r="AJ25" s="41"/>
      <c r="AK25" s="87"/>
      <c r="AL25" s="48"/>
      <c r="AM25" s="87"/>
      <c r="AN25" s="25"/>
      <c r="AO25" s="105"/>
      <c r="AP25" s="48"/>
      <c r="AQ25" s="87"/>
      <c r="AR25" s="82"/>
      <c r="AS25" s="80"/>
      <c r="AT25" s="102"/>
      <c r="AU25" s="102"/>
      <c r="AV25" s="32" t="s">
        <v>27</v>
      </c>
      <c r="AW25" s="33" t="s">
        <v>216</v>
      </c>
      <c r="AX25" s="42"/>
      <c r="AY25" s="42"/>
      <c r="AZ25" s="42"/>
      <c r="BA25" s="42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spans="1:71" x14ac:dyDescent="0.2">
      <c r="A26" s="27" t="s">
        <v>12</v>
      </c>
      <c r="B26" s="52" t="s">
        <v>13</v>
      </c>
      <c r="C26" s="27" t="s">
        <v>14</v>
      </c>
      <c r="D26" s="78">
        <v>25</v>
      </c>
      <c r="E26" s="440" t="s">
        <v>34</v>
      </c>
      <c r="F26" s="452" t="s">
        <v>217</v>
      </c>
      <c r="G26" s="440" t="s">
        <v>218</v>
      </c>
      <c r="H26" s="29" t="s">
        <v>14</v>
      </c>
      <c r="I26" s="580" t="s">
        <v>219</v>
      </c>
      <c r="J26" s="47" t="s">
        <v>19</v>
      </c>
      <c r="K26" s="48" t="s">
        <v>220</v>
      </c>
      <c r="L26" s="27" t="s">
        <v>21</v>
      </c>
      <c r="M26" s="48" t="s">
        <v>221</v>
      </c>
      <c r="N26" s="27" t="s">
        <v>23</v>
      </c>
      <c r="O26" s="30" t="s">
        <v>222</v>
      </c>
      <c r="P26" s="30"/>
      <c r="Q26" s="48" t="s">
        <v>41</v>
      </c>
      <c r="R26" s="48" t="s">
        <v>223</v>
      </c>
      <c r="S26" s="48"/>
      <c r="T26" s="39"/>
      <c r="U26" s="29"/>
      <c r="V26" s="29"/>
      <c r="W26" s="27"/>
      <c r="X26" s="27"/>
      <c r="Y26" s="23"/>
      <c r="Z26" s="24"/>
      <c r="AA26" s="30"/>
      <c r="AB26" s="56"/>
      <c r="AC26" s="48"/>
      <c r="AD26" s="2"/>
      <c r="AE26" s="26"/>
      <c r="AF26" s="48"/>
      <c r="AG26" s="48"/>
      <c r="AH26" s="48"/>
      <c r="AI26" s="29"/>
      <c r="AJ26" s="25"/>
      <c r="AK26" s="24"/>
      <c r="AL26" s="25"/>
      <c r="AM26" s="24"/>
      <c r="AN26" s="25"/>
      <c r="AO26" s="24"/>
      <c r="AP26" s="82"/>
      <c r="AQ26" s="80"/>
      <c r="AR26" s="33"/>
      <c r="AS26" s="33"/>
      <c r="AT26" s="32" t="s">
        <v>27</v>
      </c>
      <c r="AU26" s="33" t="s">
        <v>224</v>
      </c>
      <c r="AV26" s="42"/>
      <c r="AW26" s="42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</row>
    <row r="27" spans="1:71" x14ac:dyDescent="0.2">
      <c r="A27" s="27" t="s">
        <v>12</v>
      </c>
      <c r="B27" s="52" t="s">
        <v>2255</v>
      </c>
      <c r="C27" s="27" t="s">
        <v>14</v>
      </c>
      <c r="D27" s="78">
        <v>26</v>
      </c>
      <c r="E27" s="79" t="s">
        <v>44</v>
      </c>
      <c r="F27" s="55" t="s">
        <v>225</v>
      </c>
      <c r="G27" s="45" t="s">
        <v>226</v>
      </c>
      <c r="H27" s="29" t="s">
        <v>14</v>
      </c>
      <c r="I27" s="580" t="s">
        <v>227</v>
      </c>
      <c r="J27" s="47" t="s">
        <v>19</v>
      </c>
      <c r="K27" s="27" t="s">
        <v>228</v>
      </c>
      <c r="L27" s="27" t="s">
        <v>21</v>
      </c>
      <c r="M27" s="48" t="s">
        <v>229</v>
      </c>
      <c r="N27" s="30" t="s">
        <v>23</v>
      </c>
      <c r="O27" s="25" t="s">
        <v>230</v>
      </c>
      <c r="P27" s="532"/>
      <c r="Q27" s="51" t="s">
        <v>115</v>
      </c>
      <c r="R27" s="27" t="s">
        <v>250</v>
      </c>
      <c r="S27" s="444"/>
      <c r="T27" s="520"/>
      <c r="U27" s="39"/>
      <c r="V27" s="39"/>
      <c r="W27" s="39"/>
      <c r="X27" s="39"/>
      <c r="Y27" s="23"/>
      <c r="Z27" s="24"/>
      <c r="AA27" s="30"/>
      <c r="AB27" s="56"/>
      <c r="AC27" s="47"/>
      <c r="AD27" s="47"/>
      <c r="AE27" s="47"/>
      <c r="AF27" s="47"/>
      <c r="AG27" s="47"/>
      <c r="AH27" s="47"/>
      <c r="AI27" s="29"/>
      <c r="AJ27" s="51"/>
      <c r="AK27" s="24"/>
      <c r="AL27" s="51"/>
      <c r="AM27" s="24"/>
      <c r="AN27" s="51"/>
      <c r="AO27" s="24"/>
      <c r="AP27" s="91"/>
      <c r="AQ27" s="80"/>
      <c r="AR27" s="33"/>
      <c r="AS27" s="33"/>
      <c r="AT27" s="32" t="s">
        <v>27</v>
      </c>
      <c r="AU27" s="33" t="s">
        <v>237</v>
      </c>
      <c r="AV27" s="42"/>
      <c r="AW27" s="42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</row>
    <row r="28" spans="1:71" x14ac:dyDescent="0.2">
      <c r="A28" s="27" t="s">
        <v>12</v>
      </c>
      <c r="B28" s="52" t="s">
        <v>13</v>
      </c>
      <c r="C28" s="27" t="s">
        <v>14</v>
      </c>
      <c r="D28" s="53">
        <v>27</v>
      </c>
      <c r="E28" s="438" t="s">
        <v>88</v>
      </c>
      <c r="F28" s="439" t="s">
        <v>2205</v>
      </c>
      <c r="G28" s="440" t="s">
        <v>2206</v>
      </c>
      <c r="H28" s="29" t="s">
        <v>14</v>
      </c>
      <c r="I28" s="573" t="s">
        <v>232</v>
      </c>
      <c r="J28" s="47" t="s">
        <v>19</v>
      </c>
      <c r="K28" s="27" t="s">
        <v>233</v>
      </c>
      <c r="L28" s="27" t="s">
        <v>21</v>
      </c>
      <c r="M28" s="27" t="s">
        <v>234</v>
      </c>
      <c r="N28" s="29" t="s">
        <v>23</v>
      </c>
      <c r="O28" s="51">
        <v>6542858</v>
      </c>
      <c r="P28" s="518" t="s">
        <v>2204</v>
      </c>
      <c r="Q28" s="51" t="s">
        <v>115</v>
      </c>
      <c r="R28" s="27" t="s">
        <v>236</v>
      </c>
      <c r="S28" s="41"/>
      <c r="T28" s="518"/>
      <c r="U28" s="48"/>
      <c r="V28" s="48"/>
      <c r="W28" s="27"/>
      <c r="X28" s="27"/>
      <c r="Y28" s="23"/>
      <c r="Z28" s="24"/>
      <c r="AA28" s="30"/>
      <c r="AB28" s="48"/>
      <c r="AC28" s="27"/>
      <c r="AD28" s="27"/>
      <c r="AE28" s="27"/>
      <c r="AF28" s="27"/>
      <c r="AG28" s="27"/>
      <c r="AH28" s="27"/>
      <c r="AI28" s="47"/>
      <c r="AJ28" s="30"/>
      <c r="AK28" s="51"/>
      <c r="AL28" s="30"/>
      <c r="AM28" s="51"/>
      <c r="AN28" s="30"/>
      <c r="AO28" s="51"/>
      <c r="AP28" s="31"/>
      <c r="AQ28" s="49"/>
      <c r="AR28" s="49"/>
      <c r="AS28" s="49"/>
      <c r="AT28" s="32" t="s">
        <v>27</v>
      </c>
      <c r="AU28" s="49" t="s">
        <v>243</v>
      </c>
      <c r="AV28" s="34"/>
      <c r="AW28" s="34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</row>
    <row r="29" spans="1:71" x14ac:dyDescent="0.2">
      <c r="A29" s="27" t="s">
        <v>12</v>
      </c>
      <c r="B29" s="52" t="s">
        <v>13</v>
      </c>
      <c r="C29" s="27" t="s">
        <v>14</v>
      </c>
      <c r="D29" s="35">
        <v>28</v>
      </c>
      <c r="E29" s="440" t="s">
        <v>44</v>
      </c>
      <c r="F29" s="439" t="s">
        <v>238</v>
      </c>
      <c r="G29" s="440" t="s">
        <v>239</v>
      </c>
      <c r="H29" s="29" t="s">
        <v>14</v>
      </c>
      <c r="I29" s="576" t="s">
        <v>240</v>
      </c>
      <c r="J29" s="47" t="s">
        <v>19</v>
      </c>
      <c r="K29" s="47" t="s">
        <v>241</v>
      </c>
      <c r="L29" s="27" t="s">
        <v>21</v>
      </c>
      <c r="M29" s="27" t="s">
        <v>242</v>
      </c>
      <c r="N29" s="27" t="s">
        <v>139</v>
      </c>
      <c r="O29" s="40">
        <v>4192</v>
      </c>
      <c r="P29" s="445"/>
      <c r="Q29" s="486" t="s">
        <v>115</v>
      </c>
      <c r="R29" s="492">
        <v>210763</v>
      </c>
      <c r="S29" s="2"/>
      <c r="T29" s="2"/>
      <c r="U29" s="47"/>
      <c r="V29" s="47"/>
      <c r="W29" s="27"/>
      <c r="X29" s="27"/>
      <c r="Y29" s="23"/>
      <c r="Z29" s="24"/>
      <c r="AA29" s="30"/>
      <c r="AB29" s="27"/>
      <c r="AC29" s="27"/>
      <c r="AD29" s="26"/>
      <c r="AE29" s="26"/>
      <c r="AF29" s="26"/>
      <c r="AG29" s="26"/>
      <c r="AH29" s="27"/>
      <c r="AI29" s="29"/>
      <c r="AJ29" s="30"/>
      <c r="AK29" s="24"/>
      <c r="AL29" s="30"/>
      <c r="AM29" s="24"/>
      <c r="AN29" s="30"/>
      <c r="AO29" s="24"/>
      <c r="AP29" s="31"/>
      <c r="AQ29" s="32"/>
      <c r="AR29" s="33"/>
      <c r="AS29" s="33"/>
      <c r="AT29" s="32" t="s">
        <v>27</v>
      </c>
      <c r="AU29" s="33" t="s">
        <v>251</v>
      </c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</row>
    <row r="30" spans="1:71" x14ac:dyDescent="0.2">
      <c r="A30" s="51" t="s">
        <v>432</v>
      </c>
      <c r="B30" s="52" t="s">
        <v>13</v>
      </c>
      <c r="C30" s="30" t="s">
        <v>14</v>
      </c>
      <c r="D30" s="106">
        <v>29</v>
      </c>
      <c r="E30" s="434" t="s">
        <v>34</v>
      </c>
      <c r="F30" s="435" t="s">
        <v>71</v>
      </c>
      <c r="G30" s="426" t="s">
        <v>72</v>
      </c>
      <c r="H30" s="29" t="s">
        <v>14</v>
      </c>
      <c r="I30" s="576" t="s">
        <v>246</v>
      </c>
      <c r="J30" s="47" t="s">
        <v>19</v>
      </c>
      <c r="K30" s="27" t="s">
        <v>247</v>
      </c>
      <c r="L30" s="27" t="s">
        <v>21</v>
      </c>
      <c r="M30" s="27" t="s">
        <v>248</v>
      </c>
      <c r="N30" s="30" t="s">
        <v>23</v>
      </c>
      <c r="O30" s="30" t="s">
        <v>2196</v>
      </c>
      <c r="P30" s="30"/>
      <c r="Q30" s="41"/>
      <c r="R30" s="41"/>
      <c r="S30" s="30"/>
      <c r="T30" s="24"/>
      <c r="U30" s="30"/>
      <c r="V30" s="30"/>
      <c r="W30" s="30"/>
      <c r="X30" s="30"/>
      <c r="Y30" s="30"/>
      <c r="Z30" s="24"/>
      <c r="AA30" s="30"/>
      <c r="AB30" s="27"/>
      <c r="AC30" s="65"/>
      <c r="AD30" s="47"/>
      <c r="AE30" s="47"/>
      <c r="AF30" s="47"/>
      <c r="AG30" s="47"/>
      <c r="AH30" s="47"/>
      <c r="AI30" s="47"/>
      <c r="AJ30" s="47"/>
      <c r="AK30" s="47"/>
      <c r="AL30" s="27"/>
      <c r="AM30" s="29"/>
      <c r="AN30" s="30"/>
      <c r="AO30" s="24"/>
      <c r="AP30" s="30"/>
      <c r="AQ30" s="24"/>
      <c r="AR30" s="30"/>
      <c r="AS30" s="24"/>
      <c r="AT30" s="107"/>
      <c r="AU30" s="67"/>
      <c r="AV30" s="69"/>
      <c r="AW30" s="69"/>
      <c r="AX30" s="67" t="s">
        <v>27</v>
      </c>
      <c r="AY30" s="69" t="s">
        <v>264</v>
      </c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</row>
    <row r="31" spans="1:71" x14ac:dyDescent="0.2">
      <c r="A31" s="51" t="s">
        <v>12</v>
      </c>
      <c r="B31" s="52" t="s">
        <v>13</v>
      </c>
      <c r="C31" s="30" t="s">
        <v>14</v>
      </c>
      <c r="D31" s="106">
        <v>30</v>
      </c>
      <c r="E31" s="440" t="s">
        <v>44</v>
      </c>
      <c r="F31" s="452" t="s">
        <v>252</v>
      </c>
      <c r="G31" s="440" t="s">
        <v>253</v>
      </c>
      <c r="H31" s="48" t="s">
        <v>14</v>
      </c>
      <c r="I31" s="576" t="s">
        <v>254</v>
      </c>
      <c r="J31" s="48" t="s">
        <v>19</v>
      </c>
      <c r="K31" s="27" t="s">
        <v>255</v>
      </c>
      <c r="L31" s="27" t="s">
        <v>21</v>
      </c>
      <c r="M31" s="27" t="s">
        <v>256</v>
      </c>
      <c r="N31" s="27" t="s">
        <v>23</v>
      </c>
      <c r="O31" s="30" t="s">
        <v>257</v>
      </c>
      <c r="P31" s="30"/>
      <c r="Q31" s="51" t="s">
        <v>115</v>
      </c>
      <c r="R31" s="30" t="s">
        <v>258</v>
      </c>
      <c r="S31" s="30" t="s">
        <v>101</v>
      </c>
      <c r="T31" s="30" t="s">
        <v>259</v>
      </c>
      <c r="U31" s="48" t="s">
        <v>168</v>
      </c>
      <c r="V31" s="27" t="s">
        <v>260</v>
      </c>
      <c r="W31" s="48" t="s">
        <v>119</v>
      </c>
      <c r="X31" s="27" t="s">
        <v>261</v>
      </c>
      <c r="Y31" s="97" t="s">
        <v>21</v>
      </c>
      <c r="Z31" s="27" t="s">
        <v>262</v>
      </c>
      <c r="AA31" s="47" t="s">
        <v>122</v>
      </c>
      <c r="AB31" s="47" t="s">
        <v>263</v>
      </c>
      <c r="AC31" s="29"/>
      <c r="AD31" s="28"/>
      <c r="AE31" s="28"/>
      <c r="AF31" s="28"/>
      <c r="AG31" s="28"/>
      <c r="AH31" s="29"/>
      <c r="AI31" s="29"/>
      <c r="AJ31" s="27" t="s">
        <v>32</v>
      </c>
      <c r="AK31" s="29">
        <v>519249</v>
      </c>
      <c r="AL31" s="27"/>
      <c r="AM31" s="29"/>
      <c r="AN31" s="30"/>
      <c r="AO31" s="24"/>
      <c r="AP31" s="108"/>
      <c r="AQ31" s="73"/>
      <c r="AR31" s="75"/>
      <c r="AS31" s="75"/>
      <c r="AT31" s="73" t="s">
        <v>27</v>
      </c>
      <c r="AU31" s="75" t="s">
        <v>272</v>
      </c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</row>
    <row r="32" spans="1:71" x14ac:dyDescent="0.2">
      <c r="A32" s="51" t="s">
        <v>12</v>
      </c>
      <c r="B32" s="52" t="s">
        <v>13</v>
      </c>
      <c r="C32" s="30" t="s">
        <v>14</v>
      </c>
      <c r="D32" s="106">
        <v>31</v>
      </c>
      <c r="E32" s="438" t="s">
        <v>265</v>
      </c>
      <c r="F32" s="441" t="s">
        <v>266</v>
      </c>
      <c r="G32" s="440" t="s">
        <v>267</v>
      </c>
      <c r="H32" s="29" t="s">
        <v>14</v>
      </c>
      <c r="I32" s="576" t="s">
        <v>268</v>
      </c>
      <c r="J32" s="47" t="s">
        <v>19</v>
      </c>
      <c r="K32" s="27" t="s">
        <v>269</v>
      </c>
      <c r="L32" s="27" t="s">
        <v>21</v>
      </c>
      <c r="M32" s="27" t="s">
        <v>270</v>
      </c>
      <c r="N32" s="27" t="s">
        <v>23</v>
      </c>
      <c r="O32" s="25" t="s">
        <v>271</v>
      </c>
      <c r="P32" s="25"/>
      <c r="Q32" s="29"/>
      <c r="R32" s="29"/>
      <c r="S32" s="24"/>
      <c r="T32" s="24"/>
      <c r="U32" s="24"/>
      <c r="V32" s="24"/>
      <c r="W32" s="30"/>
      <c r="X32" s="30"/>
      <c r="Y32" s="23"/>
      <c r="Z32" s="24"/>
      <c r="AA32" s="30"/>
      <c r="AB32" s="29"/>
      <c r="AC32" s="30"/>
      <c r="AD32" s="24"/>
      <c r="AE32" s="24"/>
      <c r="AF32" s="30"/>
      <c r="AG32" s="24"/>
      <c r="AH32" s="30"/>
      <c r="AI32" s="24"/>
      <c r="AJ32" s="30"/>
      <c r="AK32" s="24"/>
      <c r="AL32" s="30"/>
      <c r="AM32" s="24"/>
      <c r="AN32" s="30"/>
      <c r="AO32" s="24"/>
      <c r="AP32" s="31"/>
      <c r="AQ32" s="32"/>
      <c r="AR32" s="33"/>
      <c r="AS32" s="33"/>
      <c r="AT32" s="32" t="s">
        <v>27</v>
      </c>
      <c r="AU32" s="33" t="s">
        <v>279</v>
      </c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</row>
    <row r="33" spans="1:67" x14ac:dyDescent="0.2">
      <c r="A33" s="51" t="s">
        <v>273</v>
      </c>
      <c r="B33" s="52" t="s">
        <v>13</v>
      </c>
      <c r="C33" s="30" t="s">
        <v>14</v>
      </c>
      <c r="D33" s="106">
        <v>32</v>
      </c>
      <c r="E33" s="450" t="s">
        <v>15</v>
      </c>
      <c r="F33" s="451" t="s">
        <v>274</v>
      </c>
      <c r="G33" s="440" t="s">
        <v>36</v>
      </c>
      <c r="H33" s="29" t="s">
        <v>14</v>
      </c>
      <c r="I33" s="576" t="s">
        <v>275</v>
      </c>
      <c r="J33" s="47" t="s">
        <v>276</v>
      </c>
      <c r="K33" s="27" t="s">
        <v>277</v>
      </c>
      <c r="L33" s="27" t="s">
        <v>21</v>
      </c>
      <c r="M33" s="27" t="s">
        <v>278</v>
      </c>
      <c r="N33" s="27" t="s">
        <v>23</v>
      </c>
      <c r="O33" s="30">
        <v>5045</v>
      </c>
      <c r="P33" s="30"/>
      <c r="Q33" s="27"/>
      <c r="R33" s="29"/>
      <c r="S33" s="24"/>
      <c r="T33" s="30"/>
      <c r="U33" s="30"/>
      <c r="V33" s="30"/>
      <c r="W33" s="30"/>
      <c r="X33" s="30"/>
      <c r="Y33" s="23"/>
      <c r="Z33" s="24"/>
      <c r="AA33" s="30"/>
      <c r="AB33" s="30"/>
      <c r="AC33" s="30"/>
      <c r="AD33" s="24"/>
      <c r="AE33" s="24"/>
      <c r="AF33" s="30"/>
      <c r="AG33" s="30"/>
      <c r="AH33" s="30"/>
      <c r="AI33" s="24"/>
      <c r="AJ33" s="30"/>
      <c r="AK33" s="24"/>
      <c r="AL33" s="30"/>
      <c r="AM33" s="24"/>
      <c r="AN33" s="30"/>
      <c r="AO33" s="24"/>
      <c r="AP33" s="31"/>
      <c r="AQ33" s="32"/>
      <c r="AR33" s="33"/>
      <c r="AS33" s="33"/>
      <c r="AT33" s="32" t="s">
        <v>27</v>
      </c>
      <c r="AU33" s="33" t="s">
        <v>286</v>
      </c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</row>
    <row r="34" spans="1:67" x14ac:dyDescent="0.2">
      <c r="A34" s="51" t="s">
        <v>273</v>
      </c>
      <c r="B34" s="52" t="s">
        <v>13</v>
      </c>
      <c r="C34" s="30" t="s">
        <v>14</v>
      </c>
      <c r="D34" s="106">
        <v>33</v>
      </c>
      <c r="E34" s="440" t="s">
        <v>53</v>
      </c>
      <c r="F34" s="452" t="s">
        <v>280</v>
      </c>
      <c r="G34" s="440" t="s">
        <v>281</v>
      </c>
      <c r="H34" s="29" t="s">
        <v>14</v>
      </c>
      <c r="I34" s="576" t="s">
        <v>282</v>
      </c>
      <c r="J34" s="47" t="s">
        <v>19</v>
      </c>
      <c r="K34" s="27" t="s">
        <v>283</v>
      </c>
      <c r="L34" s="27" t="s">
        <v>21</v>
      </c>
      <c r="M34" s="27" t="s">
        <v>284</v>
      </c>
      <c r="N34" s="30" t="s">
        <v>23</v>
      </c>
      <c r="O34" s="30" t="s">
        <v>285</v>
      </c>
      <c r="P34" s="30"/>
      <c r="Q34" s="27"/>
      <c r="R34" s="29"/>
      <c r="S34" s="24"/>
      <c r="T34" s="30"/>
      <c r="U34" s="30"/>
      <c r="V34" s="30"/>
      <c r="W34" s="30"/>
      <c r="X34" s="30"/>
      <c r="Y34" s="23"/>
      <c r="Z34" s="30"/>
      <c r="AA34" s="30"/>
      <c r="AB34" s="30"/>
      <c r="AC34" s="30"/>
      <c r="AD34" s="93"/>
      <c r="AE34" s="24"/>
      <c r="AF34" s="30"/>
      <c r="AG34" s="24"/>
      <c r="AH34" s="30"/>
      <c r="AI34" s="30"/>
      <c r="AJ34" s="24"/>
      <c r="AK34" s="24"/>
      <c r="AL34" s="30"/>
      <c r="AM34" s="24"/>
      <c r="AN34" s="30"/>
      <c r="AO34" s="24"/>
      <c r="AP34" s="31"/>
      <c r="AQ34" s="32"/>
      <c r="AR34" s="33"/>
      <c r="AS34" s="33"/>
      <c r="AT34" s="32" t="s">
        <v>27</v>
      </c>
      <c r="AU34" s="33" t="s">
        <v>293</v>
      </c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</row>
    <row r="35" spans="1:67" x14ac:dyDescent="0.2">
      <c r="A35" s="109" t="s">
        <v>273</v>
      </c>
      <c r="B35" s="83" t="s">
        <v>13</v>
      </c>
      <c r="C35" s="15" t="s">
        <v>14</v>
      </c>
      <c r="D35" s="110">
        <v>34</v>
      </c>
      <c r="E35" s="454" t="s">
        <v>287</v>
      </c>
      <c r="F35" s="454" t="s">
        <v>288</v>
      </c>
      <c r="G35" s="454" t="s">
        <v>289</v>
      </c>
      <c r="H35" s="19" t="s">
        <v>14</v>
      </c>
      <c r="I35" s="575" t="s">
        <v>290</v>
      </c>
      <c r="J35" s="20" t="s">
        <v>92</v>
      </c>
      <c r="K35" s="20" t="s">
        <v>291</v>
      </c>
      <c r="L35" s="14" t="s">
        <v>21</v>
      </c>
      <c r="M35" s="14" t="s">
        <v>292</v>
      </c>
      <c r="N35" s="14" t="s">
        <v>23</v>
      </c>
      <c r="O35" s="127">
        <v>74106843</v>
      </c>
      <c r="P35" s="127"/>
      <c r="Q35" s="15"/>
      <c r="R35" s="111"/>
      <c r="S35" s="15"/>
      <c r="T35" s="15"/>
      <c r="U35" s="15"/>
      <c r="V35" s="15"/>
      <c r="W35" s="15"/>
      <c r="X35" s="15"/>
      <c r="Y35" s="23"/>
      <c r="Z35" s="24"/>
      <c r="AA35" s="30"/>
      <c r="AB35" s="24"/>
      <c r="AC35" s="30"/>
      <c r="AD35" s="2"/>
      <c r="AE35" s="24"/>
      <c r="AF35" s="30"/>
      <c r="AG35" s="30"/>
      <c r="AH35" s="30"/>
      <c r="AI35" s="24"/>
      <c r="AJ35" s="30"/>
      <c r="AK35" s="24"/>
      <c r="AL35" s="30"/>
      <c r="AM35" s="24"/>
      <c r="AN35" s="30"/>
      <c r="AO35" s="24"/>
      <c r="AP35" s="31"/>
      <c r="AQ35" s="32"/>
      <c r="AR35" s="33"/>
      <c r="AS35" s="33"/>
      <c r="AT35" s="32" t="s">
        <v>27</v>
      </c>
      <c r="AU35" s="33" t="s">
        <v>300</v>
      </c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</row>
    <row r="36" spans="1:67" x14ac:dyDescent="0.2">
      <c r="A36" s="51" t="s">
        <v>273</v>
      </c>
      <c r="B36" s="52" t="s">
        <v>13</v>
      </c>
      <c r="C36" s="30" t="s">
        <v>14</v>
      </c>
      <c r="D36" s="106">
        <v>35</v>
      </c>
      <c r="E36" s="440" t="s">
        <v>88</v>
      </c>
      <c r="F36" s="452" t="s">
        <v>294</v>
      </c>
      <c r="G36" s="440" t="s">
        <v>295</v>
      </c>
      <c r="H36" s="29" t="s">
        <v>14</v>
      </c>
      <c r="I36" s="576" t="s">
        <v>296</v>
      </c>
      <c r="J36" s="47" t="s">
        <v>92</v>
      </c>
      <c r="K36" s="27" t="s">
        <v>297</v>
      </c>
      <c r="L36" s="27" t="s">
        <v>21</v>
      </c>
      <c r="M36" s="27" t="s">
        <v>298</v>
      </c>
      <c r="N36" s="27" t="s">
        <v>23</v>
      </c>
      <c r="O36" s="30" t="s">
        <v>299</v>
      </c>
      <c r="P36" s="30"/>
      <c r="Q36" s="27"/>
      <c r="R36" s="29"/>
      <c r="S36" s="24"/>
      <c r="T36" s="24"/>
      <c r="U36" s="30"/>
      <c r="V36" s="30"/>
      <c r="W36" s="30"/>
      <c r="X36" s="30"/>
      <c r="Y36" s="23"/>
      <c r="Z36" s="24"/>
      <c r="AA36" s="30"/>
      <c r="AB36" s="24"/>
      <c r="AC36" s="30"/>
      <c r="AD36" s="2"/>
      <c r="AE36" s="24"/>
      <c r="AF36" s="30"/>
      <c r="AG36" s="24"/>
      <c r="AH36" s="30"/>
      <c r="AI36" s="24"/>
      <c r="AJ36" s="30"/>
      <c r="AK36" s="24"/>
      <c r="AL36" s="30"/>
      <c r="AM36" s="24"/>
      <c r="AN36" s="30"/>
      <c r="AO36" s="24"/>
      <c r="AP36" s="31"/>
      <c r="AQ36" s="32"/>
      <c r="AR36" s="33"/>
      <c r="AS36" s="33"/>
      <c r="AT36" s="32" t="s">
        <v>27</v>
      </c>
      <c r="AU36" s="33" t="s">
        <v>305</v>
      </c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</row>
    <row r="37" spans="1:67" x14ac:dyDescent="0.2">
      <c r="A37" s="51" t="s">
        <v>273</v>
      </c>
      <c r="B37" s="52" t="s">
        <v>13</v>
      </c>
      <c r="C37" s="30" t="s">
        <v>14</v>
      </c>
      <c r="D37" s="106">
        <v>36</v>
      </c>
      <c r="E37" s="460" t="s">
        <v>88</v>
      </c>
      <c r="F37" s="462" t="s">
        <v>301</v>
      </c>
      <c r="G37" s="460" t="s">
        <v>143</v>
      </c>
      <c r="H37" s="29" t="s">
        <v>14</v>
      </c>
      <c r="I37" s="576" t="s">
        <v>302</v>
      </c>
      <c r="J37" s="47" t="s">
        <v>92</v>
      </c>
      <c r="K37" s="27" t="s">
        <v>303</v>
      </c>
      <c r="L37" s="27" t="s">
        <v>21</v>
      </c>
      <c r="M37" s="27" t="s">
        <v>304</v>
      </c>
      <c r="N37" s="27" t="s">
        <v>23</v>
      </c>
      <c r="O37" s="30">
        <v>74106820</v>
      </c>
      <c r="P37" s="30"/>
      <c r="Q37" s="27"/>
      <c r="R37" s="29"/>
      <c r="S37" s="30"/>
      <c r="T37" s="51"/>
      <c r="U37" s="30"/>
      <c r="V37" s="30"/>
      <c r="W37" s="30"/>
      <c r="X37" s="30"/>
      <c r="Y37" s="23"/>
      <c r="Z37" s="24"/>
      <c r="AA37" s="30"/>
      <c r="AB37" s="30"/>
      <c r="AC37" s="30"/>
      <c r="AD37" s="2"/>
      <c r="AE37" s="24"/>
      <c r="AF37" s="30"/>
      <c r="AG37" s="24"/>
      <c r="AH37" s="30"/>
      <c r="AI37" s="24"/>
      <c r="AJ37" s="30"/>
      <c r="AK37" s="24"/>
      <c r="AL37" s="30"/>
      <c r="AM37" s="24"/>
      <c r="AN37" s="30"/>
      <c r="AO37" s="24"/>
      <c r="AP37" s="31"/>
      <c r="AQ37" s="32"/>
      <c r="AR37" s="33"/>
      <c r="AS37" s="33"/>
      <c r="AT37" s="32" t="s">
        <v>27</v>
      </c>
      <c r="AU37" s="33" t="s">
        <v>310</v>
      </c>
      <c r="AV37" s="33"/>
      <c r="AW37" s="33"/>
      <c r="AX37" s="33"/>
      <c r="AY37" s="33"/>
      <c r="AZ37" s="32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</row>
    <row r="38" spans="1:67" x14ac:dyDescent="0.2">
      <c r="A38" s="51" t="s">
        <v>273</v>
      </c>
      <c r="B38" s="52" t="s">
        <v>13</v>
      </c>
      <c r="C38" s="30" t="s">
        <v>14</v>
      </c>
      <c r="D38" s="106">
        <v>37</v>
      </c>
      <c r="E38" s="440" t="s">
        <v>88</v>
      </c>
      <c r="F38" s="452" t="s">
        <v>306</v>
      </c>
      <c r="G38" s="440" t="s">
        <v>157</v>
      </c>
      <c r="H38" s="29" t="s">
        <v>14</v>
      </c>
      <c r="I38" s="576" t="s">
        <v>307</v>
      </c>
      <c r="J38" s="47" t="s">
        <v>92</v>
      </c>
      <c r="K38" s="27" t="s">
        <v>308</v>
      </c>
      <c r="L38" s="27" t="s">
        <v>21</v>
      </c>
      <c r="M38" s="27" t="s">
        <v>309</v>
      </c>
      <c r="N38" s="27" t="s">
        <v>23</v>
      </c>
      <c r="O38" s="30">
        <v>6541109</v>
      </c>
      <c r="P38" s="30"/>
      <c r="Q38" s="27"/>
      <c r="R38" s="29"/>
      <c r="S38" s="30"/>
      <c r="T38" s="24"/>
      <c r="U38" s="30"/>
      <c r="V38" s="30"/>
      <c r="W38" s="30"/>
      <c r="X38" s="30"/>
      <c r="Y38" s="23"/>
      <c r="Z38" s="24"/>
      <c r="AA38" s="30"/>
      <c r="AB38" s="30"/>
      <c r="AC38" s="24"/>
      <c r="AD38" s="2"/>
      <c r="AE38" s="24"/>
      <c r="AF38" s="24"/>
      <c r="AG38" s="24"/>
      <c r="AH38" s="30"/>
      <c r="AI38" s="24"/>
      <c r="AJ38" s="30"/>
      <c r="AK38" s="24"/>
      <c r="AL38" s="30"/>
      <c r="AM38" s="24"/>
      <c r="AN38" s="30"/>
      <c r="AO38" s="24"/>
      <c r="AP38" s="31"/>
      <c r="AQ38" s="32"/>
      <c r="AR38" s="33"/>
      <c r="AS38" s="33"/>
      <c r="AT38" s="32" t="s">
        <v>27</v>
      </c>
      <c r="AU38" s="49" t="s">
        <v>317</v>
      </c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</row>
    <row r="39" spans="1:67" x14ac:dyDescent="0.2">
      <c r="A39" s="51" t="s">
        <v>273</v>
      </c>
      <c r="B39" s="52" t="s">
        <v>13</v>
      </c>
      <c r="C39" s="30" t="s">
        <v>14</v>
      </c>
      <c r="D39" s="106">
        <v>38</v>
      </c>
      <c r="E39" s="440" t="s">
        <v>88</v>
      </c>
      <c r="F39" s="452" t="s">
        <v>2222</v>
      </c>
      <c r="G39" s="440" t="s">
        <v>2206</v>
      </c>
      <c r="H39" s="29" t="s">
        <v>14</v>
      </c>
      <c r="I39" s="576" t="s">
        <v>312</v>
      </c>
      <c r="J39" s="47" t="s">
        <v>92</v>
      </c>
      <c r="K39" s="27" t="s">
        <v>313</v>
      </c>
      <c r="L39" s="27" t="s">
        <v>21</v>
      </c>
      <c r="M39" s="27" t="s">
        <v>314</v>
      </c>
      <c r="N39" s="27" t="s">
        <v>23</v>
      </c>
      <c r="O39" s="30" t="s">
        <v>315</v>
      </c>
      <c r="P39" s="447" t="s">
        <v>2221</v>
      </c>
      <c r="Q39" s="29" t="s">
        <v>316</v>
      </c>
      <c r="R39" s="29">
        <v>873916</v>
      </c>
      <c r="S39" s="30"/>
      <c r="T39" s="24"/>
      <c r="U39" s="30"/>
      <c r="V39" s="30"/>
      <c r="W39" s="23"/>
      <c r="X39" s="30"/>
      <c r="Y39" s="23"/>
      <c r="Z39" s="24"/>
      <c r="AA39" s="30"/>
      <c r="AB39" s="24"/>
      <c r="AC39" s="30"/>
      <c r="AD39" s="2"/>
      <c r="AE39" s="30"/>
      <c r="AF39" s="30"/>
      <c r="AG39" s="30"/>
      <c r="AH39" s="30"/>
      <c r="AI39" s="51"/>
      <c r="AJ39" s="30"/>
      <c r="AK39" s="51"/>
      <c r="AL39" s="30"/>
      <c r="AM39" s="51"/>
      <c r="AN39" s="30"/>
      <c r="AO39" s="51"/>
      <c r="AP39" s="31"/>
      <c r="AQ39" s="32"/>
      <c r="AR39" s="49"/>
      <c r="AS39" s="49"/>
      <c r="AT39" s="32" t="s">
        <v>27</v>
      </c>
      <c r="AU39" s="33" t="s">
        <v>324</v>
      </c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</row>
    <row r="40" spans="1:67" x14ac:dyDescent="0.2">
      <c r="A40" s="51" t="s">
        <v>273</v>
      </c>
      <c r="B40" s="52" t="s">
        <v>13</v>
      </c>
      <c r="C40" s="30" t="s">
        <v>14</v>
      </c>
      <c r="D40" s="106">
        <v>39</v>
      </c>
      <c r="E40" s="439" t="s">
        <v>34</v>
      </c>
      <c r="F40" s="439" t="s">
        <v>318</v>
      </c>
      <c r="G40" s="439" t="s">
        <v>319</v>
      </c>
      <c r="H40" s="29" t="s">
        <v>14</v>
      </c>
      <c r="I40" s="576" t="s">
        <v>320</v>
      </c>
      <c r="J40" s="47" t="s">
        <v>92</v>
      </c>
      <c r="K40" s="27" t="s">
        <v>321</v>
      </c>
      <c r="L40" s="27" t="s">
        <v>21</v>
      </c>
      <c r="M40" s="27" t="s">
        <v>322</v>
      </c>
      <c r="N40" s="27" t="s">
        <v>23</v>
      </c>
      <c r="O40" s="30" t="s">
        <v>323</v>
      </c>
      <c r="P40" s="30"/>
      <c r="Q40" s="30"/>
      <c r="R40" s="30"/>
      <c r="S40" s="2"/>
      <c r="T40" s="2"/>
      <c r="U40" s="2"/>
      <c r="V40" s="2"/>
      <c r="W40" s="112"/>
      <c r="X40" s="41"/>
      <c r="Y40" s="23"/>
      <c r="Z40" s="24"/>
      <c r="AA40" s="30"/>
      <c r="AB40" s="30"/>
      <c r="AC40" s="30"/>
      <c r="AD40" s="2"/>
      <c r="AE40" s="24"/>
      <c r="AF40" s="30"/>
      <c r="AG40" s="24"/>
      <c r="AH40" s="30"/>
      <c r="AI40" s="24"/>
      <c r="AJ40" s="30"/>
      <c r="AK40" s="24"/>
      <c r="AL40" s="30"/>
      <c r="AM40" s="24"/>
      <c r="AN40" s="30"/>
      <c r="AO40" s="24"/>
      <c r="AP40" s="107"/>
      <c r="AQ40" s="67"/>
      <c r="AR40" s="69"/>
      <c r="AS40" s="69"/>
      <c r="AT40" s="67" t="s">
        <v>27</v>
      </c>
      <c r="AU40" s="69" t="s">
        <v>332</v>
      </c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</row>
    <row r="41" spans="1:67" x14ac:dyDescent="0.2">
      <c r="A41" s="51" t="s">
        <v>273</v>
      </c>
      <c r="B41" s="52" t="s">
        <v>13</v>
      </c>
      <c r="C41" s="30" t="s">
        <v>14</v>
      </c>
      <c r="D41" s="106">
        <v>40</v>
      </c>
      <c r="E41" s="440" t="s">
        <v>44</v>
      </c>
      <c r="F41" s="452" t="s">
        <v>325</v>
      </c>
      <c r="G41" s="440" t="s">
        <v>326</v>
      </c>
      <c r="H41" s="29" t="s">
        <v>14</v>
      </c>
      <c r="I41" s="576" t="s">
        <v>327</v>
      </c>
      <c r="J41" s="47" t="s">
        <v>92</v>
      </c>
      <c r="K41" s="27" t="s">
        <v>328</v>
      </c>
      <c r="L41" s="27" t="s">
        <v>21</v>
      </c>
      <c r="M41" s="27" t="s">
        <v>329</v>
      </c>
      <c r="N41" s="27" t="s">
        <v>23</v>
      </c>
      <c r="O41" s="30" t="s">
        <v>330</v>
      </c>
      <c r="P41" s="30"/>
      <c r="Q41" s="2" t="s">
        <v>331</v>
      </c>
      <c r="R41" s="2">
        <v>704028</v>
      </c>
      <c r="S41" s="2"/>
      <c r="T41" s="2"/>
      <c r="U41" s="2"/>
      <c r="V41" s="2"/>
      <c r="W41" s="23"/>
      <c r="X41" s="30"/>
      <c r="Y41" s="23"/>
      <c r="Z41" s="24"/>
      <c r="AA41" s="30"/>
      <c r="AB41" s="30"/>
      <c r="AC41" s="30"/>
      <c r="AD41" s="2"/>
      <c r="AE41" s="30"/>
      <c r="AF41" s="24"/>
      <c r="AG41" s="30"/>
      <c r="AH41" s="30"/>
      <c r="AI41" s="24"/>
      <c r="AJ41" s="30"/>
      <c r="AK41" s="24"/>
      <c r="AL41" s="30"/>
      <c r="AM41" s="24"/>
      <c r="AN41" s="30"/>
      <c r="AO41" s="24"/>
      <c r="AP41" s="108"/>
      <c r="AQ41" s="73"/>
      <c r="AR41" s="75"/>
      <c r="AS41" s="75"/>
      <c r="AT41" s="73" t="s">
        <v>27</v>
      </c>
      <c r="AU41" s="113" t="s">
        <v>339</v>
      </c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</row>
    <row r="42" spans="1:67" x14ac:dyDescent="0.2">
      <c r="A42" s="51" t="s">
        <v>432</v>
      </c>
      <c r="B42" s="52" t="s">
        <v>13</v>
      </c>
      <c r="C42" s="30" t="s">
        <v>14</v>
      </c>
      <c r="D42" s="106">
        <v>41</v>
      </c>
      <c r="E42" s="424" t="s">
        <v>44</v>
      </c>
      <c r="F42" s="425" t="s">
        <v>333</v>
      </c>
      <c r="G42" s="426" t="s">
        <v>334</v>
      </c>
      <c r="H42" s="29" t="s">
        <v>14</v>
      </c>
      <c r="I42" s="576" t="s">
        <v>335</v>
      </c>
      <c r="J42" s="47" t="s">
        <v>92</v>
      </c>
      <c r="K42" s="27" t="s">
        <v>336</v>
      </c>
      <c r="L42" s="27" t="s">
        <v>21</v>
      </c>
      <c r="M42" s="27" t="s">
        <v>337</v>
      </c>
      <c r="N42" s="27" t="s">
        <v>23</v>
      </c>
      <c r="O42" s="30" t="s">
        <v>338</v>
      </c>
      <c r="P42" s="30"/>
      <c r="Q42" s="29"/>
      <c r="R42" s="27"/>
      <c r="S42" s="30"/>
      <c r="T42" s="24"/>
      <c r="U42" s="30"/>
      <c r="V42" s="30"/>
      <c r="W42" s="23"/>
      <c r="X42" s="30"/>
      <c r="Y42" s="23"/>
      <c r="Z42" s="24"/>
      <c r="AA42" s="30"/>
      <c r="AB42" s="24"/>
      <c r="AC42" s="30"/>
      <c r="AD42" s="2"/>
      <c r="AE42" s="30"/>
      <c r="AF42" s="51"/>
      <c r="AG42" s="30"/>
      <c r="AH42" s="30"/>
      <c r="AI42" s="51"/>
      <c r="AJ42" s="30"/>
      <c r="AK42" s="51"/>
      <c r="AL42" s="30"/>
      <c r="AM42" s="51"/>
      <c r="AN42" s="30"/>
      <c r="AO42" s="51"/>
      <c r="AP42" s="31"/>
      <c r="AQ42" s="32"/>
      <c r="AR42" s="49"/>
      <c r="AS42" s="49"/>
      <c r="AT42" s="32" t="s">
        <v>27</v>
      </c>
      <c r="AU42" s="33" t="s">
        <v>346</v>
      </c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</row>
    <row r="43" spans="1:67" x14ac:dyDescent="0.2">
      <c r="A43" s="51" t="s">
        <v>273</v>
      </c>
      <c r="B43" s="52" t="s">
        <v>2255</v>
      </c>
      <c r="C43" s="30" t="s">
        <v>14</v>
      </c>
      <c r="D43" s="106">
        <v>42</v>
      </c>
      <c r="E43" s="79" t="s">
        <v>34</v>
      </c>
      <c r="F43" s="46" t="s">
        <v>340</v>
      </c>
      <c r="G43" s="88" t="s">
        <v>341</v>
      </c>
      <c r="H43" s="29" t="s">
        <v>14</v>
      </c>
      <c r="I43" s="576" t="s">
        <v>342</v>
      </c>
      <c r="J43" s="47" t="s">
        <v>92</v>
      </c>
      <c r="K43" s="47" t="s">
        <v>343</v>
      </c>
      <c r="L43" s="27" t="s">
        <v>21</v>
      </c>
      <c r="M43" s="27" t="s">
        <v>344</v>
      </c>
      <c r="N43" s="27" t="s">
        <v>23</v>
      </c>
      <c r="O43" s="30" t="s">
        <v>345</v>
      </c>
      <c r="P43" s="30"/>
      <c r="Q43" s="47"/>
      <c r="R43" s="27"/>
      <c r="S43" s="30"/>
      <c r="T43" s="51"/>
      <c r="U43" s="30"/>
      <c r="V43" s="30"/>
      <c r="W43" s="23"/>
      <c r="X43" s="30"/>
      <c r="Y43" s="23"/>
      <c r="Z43" s="24"/>
      <c r="AA43" s="30"/>
      <c r="AB43" s="51"/>
      <c r="AC43" s="30"/>
      <c r="AD43" s="2"/>
      <c r="AE43" s="24"/>
      <c r="AF43" s="30"/>
      <c r="AG43" s="24"/>
      <c r="AH43" s="30"/>
      <c r="AI43" s="24"/>
      <c r="AJ43" s="30"/>
      <c r="AK43" s="24"/>
      <c r="AL43" s="30"/>
      <c r="AM43" s="24"/>
      <c r="AN43" s="30"/>
      <c r="AO43" s="24"/>
      <c r="AP43" s="31"/>
      <c r="AQ43" s="32"/>
      <c r="AR43" s="33"/>
      <c r="AS43" s="33"/>
      <c r="AT43" s="32" t="s">
        <v>27</v>
      </c>
      <c r="AU43" s="33" t="s">
        <v>352</v>
      </c>
      <c r="AV43" s="33"/>
      <c r="AW43" s="33"/>
      <c r="AX43" s="33"/>
      <c r="AY43" s="33"/>
      <c r="AZ43" s="32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</row>
    <row r="44" spans="1:67" x14ac:dyDescent="0.2">
      <c r="A44" s="51" t="s">
        <v>273</v>
      </c>
      <c r="B44" s="52" t="s">
        <v>13</v>
      </c>
      <c r="C44" s="30" t="s">
        <v>14</v>
      </c>
      <c r="D44" s="106">
        <v>43</v>
      </c>
      <c r="E44" s="461" t="s">
        <v>44</v>
      </c>
      <c r="F44" s="461" t="s">
        <v>347</v>
      </c>
      <c r="G44" s="461" t="s">
        <v>157</v>
      </c>
      <c r="H44" s="29" t="s">
        <v>14</v>
      </c>
      <c r="I44" s="576" t="s">
        <v>348</v>
      </c>
      <c r="J44" s="47" t="s">
        <v>92</v>
      </c>
      <c r="K44" s="27" t="s">
        <v>349</v>
      </c>
      <c r="L44" s="27" t="s">
        <v>21</v>
      </c>
      <c r="M44" s="27" t="s">
        <v>350</v>
      </c>
      <c r="N44" s="27" t="s">
        <v>23</v>
      </c>
      <c r="O44" s="30" t="s">
        <v>2224</v>
      </c>
      <c r="P44" s="30"/>
      <c r="Q44" s="27" t="s">
        <v>331</v>
      </c>
      <c r="R44" s="24">
        <v>703997</v>
      </c>
      <c r="S44" s="93"/>
      <c r="T44" s="2"/>
      <c r="U44" s="30"/>
      <c r="V44" s="30"/>
      <c r="W44" s="23"/>
      <c r="X44" s="30"/>
      <c r="Y44" s="23"/>
      <c r="Z44" s="24"/>
      <c r="AA44" s="30"/>
      <c r="AB44" s="30"/>
      <c r="AC44" s="24"/>
      <c r="AD44" s="2"/>
      <c r="AE44" s="24"/>
      <c r="AF44" s="30"/>
      <c r="AG44" s="24"/>
      <c r="AH44" s="30"/>
      <c r="AI44" s="24"/>
      <c r="AJ44" s="30"/>
      <c r="AK44" s="24"/>
      <c r="AL44" s="30"/>
      <c r="AM44" s="24"/>
      <c r="AN44" s="30"/>
      <c r="AO44" s="24"/>
      <c r="AP44" s="91"/>
      <c r="AQ44" s="32"/>
      <c r="AR44" s="33"/>
      <c r="AS44" s="33"/>
      <c r="AT44" s="32" t="s">
        <v>27</v>
      </c>
      <c r="AU44" s="49" t="s">
        <v>363</v>
      </c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</row>
    <row r="45" spans="1:67" x14ac:dyDescent="0.2">
      <c r="A45" s="51" t="s">
        <v>273</v>
      </c>
      <c r="B45" s="52" t="s">
        <v>13</v>
      </c>
      <c r="C45" s="30" t="s">
        <v>14</v>
      </c>
      <c r="D45" s="106">
        <v>44</v>
      </c>
      <c r="E45" s="438" t="s">
        <v>88</v>
      </c>
      <c r="F45" s="441" t="s">
        <v>353</v>
      </c>
      <c r="G45" s="440" t="s">
        <v>326</v>
      </c>
      <c r="H45" s="29" t="s">
        <v>14</v>
      </c>
      <c r="I45" s="576" t="s">
        <v>354</v>
      </c>
      <c r="J45" s="47" t="s">
        <v>92</v>
      </c>
      <c r="K45" s="27" t="s">
        <v>355</v>
      </c>
      <c r="L45" s="30" t="s">
        <v>21</v>
      </c>
      <c r="M45" s="30" t="s">
        <v>356</v>
      </c>
      <c r="N45" s="27" t="s">
        <v>23</v>
      </c>
      <c r="O45" s="30" t="s">
        <v>357</v>
      </c>
      <c r="P45" s="30"/>
      <c r="Q45" s="27" t="s">
        <v>358</v>
      </c>
      <c r="R45" s="27" t="s">
        <v>359</v>
      </c>
      <c r="S45" s="30" t="s">
        <v>360</v>
      </c>
      <c r="T45" s="24" t="s">
        <v>361</v>
      </c>
      <c r="U45" s="30" t="s">
        <v>21</v>
      </c>
      <c r="V45" s="30" t="s">
        <v>362</v>
      </c>
      <c r="W45" s="112"/>
      <c r="X45" s="41"/>
      <c r="Y45" s="23"/>
      <c r="Z45" s="24"/>
      <c r="AA45" s="30"/>
      <c r="AB45" s="30"/>
      <c r="AC45" s="51"/>
      <c r="AD45" s="2"/>
      <c r="AE45" s="51"/>
      <c r="AF45" s="24"/>
      <c r="AG45" s="51"/>
      <c r="AH45" s="51"/>
      <c r="AI45" s="51"/>
      <c r="AJ45" s="51"/>
      <c r="AK45" s="51"/>
      <c r="AL45" s="51"/>
      <c r="AM45" s="51"/>
      <c r="AN45" s="51"/>
      <c r="AO45" s="51"/>
      <c r="AP45" s="31"/>
      <c r="AQ45" s="49"/>
      <c r="AR45" s="49"/>
      <c r="AS45" s="49"/>
      <c r="AT45" s="32" t="s">
        <v>27</v>
      </c>
      <c r="AU45" s="33" t="s">
        <v>370</v>
      </c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</row>
    <row r="46" spans="1:67" x14ac:dyDescent="0.2">
      <c r="A46" s="51" t="s">
        <v>273</v>
      </c>
      <c r="B46" s="52" t="s">
        <v>13</v>
      </c>
      <c r="C46" s="30" t="s">
        <v>14</v>
      </c>
      <c r="D46" s="114">
        <v>45</v>
      </c>
      <c r="E46" s="439" t="s">
        <v>88</v>
      </c>
      <c r="F46" s="441" t="s">
        <v>364</v>
      </c>
      <c r="G46" s="440" t="s">
        <v>365</v>
      </c>
      <c r="H46" s="29" t="s">
        <v>14</v>
      </c>
      <c r="I46" s="573" t="s">
        <v>366</v>
      </c>
      <c r="J46" s="47" t="s">
        <v>92</v>
      </c>
      <c r="K46" s="47" t="s">
        <v>367</v>
      </c>
      <c r="L46" s="27" t="s">
        <v>21</v>
      </c>
      <c r="M46" s="27" t="s">
        <v>368</v>
      </c>
      <c r="N46" s="27" t="s">
        <v>23</v>
      </c>
      <c r="O46" s="51" t="s">
        <v>369</v>
      </c>
      <c r="P46" s="51"/>
      <c r="Q46" s="27"/>
      <c r="R46" s="48"/>
      <c r="S46" s="51"/>
      <c r="T46" s="51"/>
      <c r="U46" s="51"/>
      <c r="V46" s="51"/>
      <c r="W46" s="23"/>
      <c r="X46" s="30"/>
      <c r="Y46" s="23"/>
      <c r="Z46" s="24"/>
      <c r="AA46" s="30"/>
      <c r="AB46" s="24"/>
      <c r="AC46" s="30"/>
      <c r="AD46" s="2"/>
      <c r="AE46" s="30"/>
      <c r="AF46" s="24"/>
      <c r="AG46" s="30"/>
      <c r="AH46" s="30"/>
      <c r="AI46" s="24"/>
      <c r="AJ46" s="30"/>
      <c r="AK46" s="24"/>
      <c r="AL46" s="30"/>
      <c r="AM46" s="24"/>
      <c r="AN46" s="30"/>
      <c r="AO46" s="24"/>
      <c r="AP46" s="115"/>
      <c r="AQ46" s="32"/>
      <c r="AR46" s="33"/>
      <c r="AS46" s="33"/>
      <c r="AT46" s="32" t="s">
        <v>27</v>
      </c>
      <c r="AU46" s="33" t="s">
        <v>376</v>
      </c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</row>
    <row r="47" spans="1:67" x14ac:dyDescent="0.2">
      <c r="A47" s="51" t="s">
        <v>273</v>
      </c>
      <c r="B47" s="52" t="s">
        <v>13</v>
      </c>
      <c r="C47" s="30" t="s">
        <v>14</v>
      </c>
      <c r="D47" s="106">
        <v>46</v>
      </c>
      <c r="E47" s="438" t="s">
        <v>287</v>
      </c>
      <c r="F47" s="439" t="s">
        <v>371</v>
      </c>
      <c r="G47" s="439" t="s">
        <v>267</v>
      </c>
      <c r="H47" s="29" t="s">
        <v>14</v>
      </c>
      <c r="I47" s="576" t="s">
        <v>372</v>
      </c>
      <c r="J47" s="47" t="s">
        <v>92</v>
      </c>
      <c r="K47" s="2" t="s">
        <v>373</v>
      </c>
      <c r="L47" s="27" t="s">
        <v>21</v>
      </c>
      <c r="M47" s="27" t="s">
        <v>374</v>
      </c>
      <c r="N47" s="27" t="s">
        <v>23</v>
      </c>
      <c r="O47" s="30" t="s">
        <v>375</v>
      </c>
      <c r="P47" s="30"/>
      <c r="Q47" s="39"/>
      <c r="R47" s="39"/>
      <c r="S47" s="39"/>
      <c r="T47" s="39"/>
      <c r="U47" s="39"/>
      <c r="V47" s="30"/>
      <c r="W47" s="23"/>
      <c r="X47" s="30"/>
      <c r="Y47" s="23"/>
      <c r="Z47" s="30"/>
      <c r="AA47" s="30"/>
      <c r="AB47" s="24"/>
      <c r="AC47" s="30"/>
      <c r="AD47" s="2"/>
      <c r="AE47" s="30"/>
      <c r="AF47" s="30"/>
      <c r="AG47" s="30"/>
      <c r="AH47" s="30"/>
      <c r="AI47" s="24"/>
      <c r="AJ47" s="30"/>
      <c r="AK47" s="24"/>
      <c r="AL47" s="30"/>
      <c r="AM47" s="24"/>
      <c r="AN47" s="30"/>
      <c r="AO47" s="24"/>
      <c r="AP47" s="31"/>
      <c r="AQ47" s="32"/>
      <c r="AR47" s="33"/>
      <c r="AS47" s="33"/>
      <c r="AT47" s="32" t="s">
        <v>27</v>
      </c>
      <c r="AU47" s="33" t="s">
        <v>383</v>
      </c>
      <c r="AV47" s="33"/>
      <c r="AW47" s="32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</row>
    <row r="48" spans="1:67" x14ac:dyDescent="0.2">
      <c r="A48" s="51" t="s">
        <v>273</v>
      </c>
      <c r="B48" s="52" t="s">
        <v>13</v>
      </c>
      <c r="C48" s="30" t="s">
        <v>14</v>
      </c>
      <c r="D48" s="106">
        <v>47</v>
      </c>
      <c r="E48" s="438" t="s">
        <v>44</v>
      </c>
      <c r="F48" s="441" t="s">
        <v>377</v>
      </c>
      <c r="G48" s="440" t="s">
        <v>378</v>
      </c>
      <c r="H48" s="29" t="s">
        <v>14</v>
      </c>
      <c r="I48" s="576" t="s">
        <v>379</v>
      </c>
      <c r="J48" s="47" t="s">
        <v>92</v>
      </c>
      <c r="K48" s="2" t="s">
        <v>380</v>
      </c>
      <c r="L48" s="27" t="s">
        <v>21</v>
      </c>
      <c r="M48" s="27" t="s">
        <v>381</v>
      </c>
      <c r="N48" s="48" t="s">
        <v>23</v>
      </c>
      <c r="O48" s="30" t="s">
        <v>382</v>
      </c>
      <c r="P48" s="30"/>
      <c r="Q48" s="29"/>
      <c r="R48" s="27"/>
      <c r="S48" s="30"/>
      <c r="T48" s="24"/>
      <c r="U48" s="30"/>
      <c r="V48" s="30"/>
      <c r="W48" s="23"/>
      <c r="X48" s="30"/>
      <c r="Y48" s="23"/>
      <c r="Z48" s="24"/>
      <c r="AA48" s="30"/>
      <c r="AB48" s="30"/>
      <c r="AC48" s="30"/>
      <c r="AD48" s="93"/>
      <c r="AE48" s="30"/>
      <c r="AF48" s="24"/>
      <c r="AG48" s="30"/>
      <c r="AH48" s="30"/>
      <c r="AI48" s="24"/>
      <c r="AJ48" s="30"/>
      <c r="AK48" s="24"/>
      <c r="AL48" s="30"/>
      <c r="AM48" s="24"/>
      <c r="AN48" s="30"/>
      <c r="AO48" s="24"/>
      <c r="AP48" s="31"/>
      <c r="AQ48" s="32"/>
      <c r="AR48" s="33"/>
      <c r="AS48" s="33"/>
      <c r="AT48" s="32" t="s">
        <v>27</v>
      </c>
      <c r="AU48" s="33" t="s">
        <v>389</v>
      </c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</row>
    <row r="49" spans="1:67" x14ac:dyDescent="0.2">
      <c r="A49" s="51" t="s">
        <v>273</v>
      </c>
      <c r="B49" s="52" t="s">
        <v>13</v>
      </c>
      <c r="C49" s="30" t="s">
        <v>14</v>
      </c>
      <c r="D49" s="106">
        <v>48</v>
      </c>
      <c r="E49" s="440" t="s">
        <v>44</v>
      </c>
      <c r="F49" s="452" t="s">
        <v>384</v>
      </c>
      <c r="G49" s="441" t="s">
        <v>206</v>
      </c>
      <c r="H49" s="29" t="s">
        <v>14</v>
      </c>
      <c r="I49" s="573" t="s">
        <v>385</v>
      </c>
      <c r="J49" s="47" t="s">
        <v>92</v>
      </c>
      <c r="K49" s="27" t="s">
        <v>386</v>
      </c>
      <c r="L49" s="27" t="s">
        <v>58</v>
      </c>
      <c r="M49" s="27" t="s">
        <v>387</v>
      </c>
      <c r="N49" s="27" t="s">
        <v>23</v>
      </c>
      <c r="O49" s="30" t="s">
        <v>388</v>
      </c>
      <c r="P49" s="30"/>
      <c r="Q49" s="29" t="s">
        <v>331</v>
      </c>
      <c r="R49" s="29">
        <v>704054</v>
      </c>
      <c r="S49" s="30"/>
      <c r="T49" s="30"/>
      <c r="U49" s="30"/>
      <c r="V49" s="24"/>
      <c r="W49" s="23"/>
      <c r="X49" s="30"/>
      <c r="Y49" s="23"/>
      <c r="Z49" s="24"/>
      <c r="AA49" s="30"/>
      <c r="AB49" s="24"/>
      <c r="AC49" s="27"/>
      <c r="AD49" s="2"/>
      <c r="AE49" s="29"/>
      <c r="AF49" s="27"/>
      <c r="AG49" s="29"/>
      <c r="AH49" s="27"/>
      <c r="AI49" s="29"/>
      <c r="AJ49" s="27"/>
      <c r="AK49" s="29"/>
      <c r="AL49" s="27"/>
      <c r="AM49" s="29"/>
      <c r="AN49" s="27"/>
      <c r="AO49" s="29"/>
      <c r="AP49" s="117"/>
      <c r="AQ49" s="34"/>
      <c r="AR49" s="42"/>
      <c r="AS49" s="42"/>
      <c r="AT49" s="34" t="s">
        <v>27</v>
      </c>
      <c r="AU49" s="42" t="s">
        <v>395</v>
      </c>
      <c r="AV49" s="42"/>
      <c r="AW49" s="42"/>
      <c r="AX49" s="34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</row>
    <row r="50" spans="1:67" x14ac:dyDescent="0.2">
      <c r="A50" s="47" t="s">
        <v>273</v>
      </c>
      <c r="B50" s="52" t="s">
        <v>13</v>
      </c>
      <c r="C50" s="27" t="s">
        <v>14</v>
      </c>
      <c r="D50" s="106">
        <v>49</v>
      </c>
      <c r="E50" s="439" t="s">
        <v>88</v>
      </c>
      <c r="F50" s="439" t="s">
        <v>390</v>
      </c>
      <c r="G50" s="439" t="s">
        <v>391</v>
      </c>
      <c r="H50" s="29" t="s">
        <v>14</v>
      </c>
      <c r="I50" s="576" t="s">
        <v>392</v>
      </c>
      <c r="J50" s="47" t="s">
        <v>92</v>
      </c>
      <c r="K50" s="27" t="s">
        <v>393</v>
      </c>
      <c r="L50" s="27" t="s">
        <v>21</v>
      </c>
      <c r="M50" s="27" t="s">
        <v>394</v>
      </c>
      <c r="N50" s="27" t="s">
        <v>23</v>
      </c>
      <c r="O50" s="30">
        <v>6542853</v>
      </c>
      <c r="P50" s="30"/>
      <c r="Q50" s="29"/>
      <c r="R50" s="27"/>
      <c r="S50" s="27"/>
      <c r="T50" s="29"/>
      <c r="U50" s="27"/>
      <c r="V50" s="27"/>
      <c r="W50" s="116"/>
      <c r="X50" s="29"/>
      <c r="Y50" s="97"/>
      <c r="Z50" s="29"/>
      <c r="AA50" s="27"/>
      <c r="AB50" s="27"/>
      <c r="AC50" s="24"/>
      <c r="AD50" s="2"/>
      <c r="AE50" s="24"/>
      <c r="AF50" s="24"/>
      <c r="AG50" s="24"/>
      <c r="AH50" s="30"/>
      <c r="AI50" s="24"/>
      <c r="AJ50" s="30"/>
      <c r="AK50" s="24"/>
      <c r="AL50" s="30"/>
      <c r="AM50" s="24"/>
      <c r="AN50" s="30"/>
      <c r="AO50" s="24"/>
      <c r="AP50" s="107"/>
      <c r="AQ50" s="69"/>
      <c r="AR50" s="69"/>
      <c r="AS50" s="69"/>
      <c r="AT50" s="67" t="s">
        <v>27</v>
      </c>
      <c r="AU50" s="69" t="s">
        <v>402</v>
      </c>
      <c r="AV50" s="69"/>
      <c r="AW50" s="69"/>
      <c r="AX50" s="67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</row>
    <row r="51" spans="1:67" x14ac:dyDescent="0.2">
      <c r="A51" s="51" t="s">
        <v>273</v>
      </c>
      <c r="B51" s="52" t="s">
        <v>13</v>
      </c>
      <c r="C51" s="30" t="s">
        <v>14</v>
      </c>
      <c r="D51" s="106">
        <v>50</v>
      </c>
      <c r="E51" s="458" t="s">
        <v>53</v>
      </c>
      <c r="F51" s="459" t="s">
        <v>396</v>
      </c>
      <c r="G51" s="460" t="s">
        <v>397</v>
      </c>
      <c r="H51" s="29" t="s">
        <v>14</v>
      </c>
      <c r="I51" s="576" t="s">
        <v>398</v>
      </c>
      <c r="J51" s="47" t="s">
        <v>92</v>
      </c>
      <c r="K51" s="27" t="s">
        <v>399</v>
      </c>
      <c r="L51" s="27" t="s">
        <v>21</v>
      </c>
      <c r="M51" s="30" t="s">
        <v>400</v>
      </c>
      <c r="N51" s="27" t="s">
        <v>23</v>
      </c>
      <c r="O51" s="27" t="s">
        <v>401</v>
      </c>
      <c r="P51" s="27"/>
      <c r="Q51" s="29"/>
      <c r="R51" s="29"/>
      <c r="S51" s="30"/>
      <c r="T51" s="24"/>
      <c r="U51" s="30"/>
      <c r="V51" s="30"/>
      <c r="W51" s="23"/>
      <c r="X51" s="30"/>
      <c r="Y51" s="23"/>
      <c r="Z51" s="24"/>
      <c r="AA51" s="30"/>
      <c r="AB51" s="24"/>
      <c r="AC51" s="24"/>
      <c r="AD51" s="2"/>
      <c r="AE51" s="24"/>
      <c r="AF51" s="24"/>
      <c r="AG51" s="24"/>
      <c r="AH51" s="30"/>
      <c r="AI51" s="24"/>
      <c r="AJ51" s="30"/>
      <c r="AK51" s="24"/>
      <c r="AL51" s="30"/>
      <c r="AM51" s="24"/>
      <c r="AN51" s="30"/>
      <c r="AO51" s="24"/>
      <c r="AP51" s="108"/>
      <c r="AQ51" s="73"/>
      <c r="AR51" s="75"/>
      <c r="AS51" s="73"/>
      <c r="AT51" s="73" t="s">
        <v>27</v>
      </c>
      <c r="AU51" s="75" t="s">
        <v>409</v>
      </c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</row>
    <row r="52" spans="1:67" x14ac:dyDescent="0.2">
      <c r="A52" s="51" t="s">
        <v>273</v>
      </c>
      <c r="B52" s="52" t="s">
        <v>13</v>
      </c>
      <c r="C52" s="30" t="s">
        <v>14</v>
      </c>
      <c r="D52" s="114">
        <v>51</v>
      </c>
      <c r="E52" s="438" t="s">
        <v>34</v>
      </c>
      <c r="F52" s="441" t="s">
        <v>403</v>
      </c>
      <c r="G52" s="440" t="s">
        <v>404</v>
      </c>
      <c r="H52" s="29" t="s">
        <v>14</v>
      </c>
      <c r="I52" s="573" t="s">
        <v>405</v>
      </c>
      <c r="J52" s="47" t="s">
        <v>92</v>
      </c>
      <c r="K52" s="27" t="s">
        <v>406</v>
      </c>
      <c r="L52" s="27" t="s">
        <v>21</v>
      </c>
      <c r="M52" s="27" t="s">
        <v>407</v>
      </c>
      <c r="N52" s="30" t="s">
        <v>23</v>
      </c>
      <c r="O52" s="25" t="s">
        <v>408</v>
      </c>
      <c r="P52" s="25"/>
      <c r="Q52" s="2"/>
      <c r="R52" s="2"/>
      <c r="S52" s="2"/>
      <c r="T52" s="2"/>
      <c r="U52" s="2"/>
      <c r="V52" s="2"/>
      <c r="W52" s="23"/>
      <c r="X52" s="30"/>
      <c r="Y52" s="23"/>
      <c r="Z52" s="24"/>
      <c r="AA52" s="30"/>
      <c r="AB52" s="24"/>
      <c r="AC52" s="24"/>
      <c r="AD52" s="93"/>
      <c r="AE52" s="24"/>
      <c r="AF52" s="24"/>
      <c r="AG52" s="24"/>
      <c r="AH52" s="30"/>
      <c r="AI52" s="24"/>
      <c r="AJ52" s="30"/>
      <c r="AK52" s="24"/>
      <c r="AL52" s="30"/>
      <c r="AM52" s="24"/>
      <c r="AN52" s="30"/>
      <c r="AO52" s="24"/>
      <c r="AP52" s="31"/>
      <c r="AQ52" s="33"/>
      <c r="AR52" s="33"/>
      <c r="AS52" s="33"/>
      <c r="AT52" s="32" t="s">
        <v>27</v>
      </c>
      <c r="AU52" s="33" t="s">
        <v>416</v>
      </c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</row>
    <row r="53" spans="1:67" x14ac:dyDescent="0.2">
      <c r="A53" s="51" t="s">
        <v>273</v>
      </c>
      <c r="B53" s="52" t="s">
        <v>13</v>
      </c>
      <c r="C53" s="30" t="s">
        <v>14</v>
      </c>
      <c r="D53" s="106">
        <v>52</v>
      </c>
      <c r="E53" s="438" t="s">
        <v>287</v>
      </c>
      <c r="F53" s="441" t="s">
        <v>410</v>
      </c>
      <c r="G53" s="440" t="s">
        <v>411</v>
      </c>
      <c r="H53" s="29" t="s">
        <v>14</v>
      </c>
      <c r="I53" s="576" t="s">
        <v>412</v>
      </c>
      <c r="J53" s="47" t="s">
        <v>92</v>
      </c>
      <c r="K53" s="47" t="s">
        <v>413</v>
      </c>
      <c r="L53" s="27" t="s">
        <v>21</v>
      </c>
      <c r="M53" s="27" t="s">
        <v>84</v>
      </c>
      <c r="N53" s="27" t="s">
        <v>23</v>
      </c>
      <c r="O53" s="30" t="s">
        <v>945</v>
      </c>
      <c r="P53" s="30"/>
      <c r="Q53" s="24"/>
      <c r="R53" s="24"/>
      <c r="S53" s="30"/>
      <c r="T53" s="24"/>
      <c r="U53" s="30"/>
      <c r="V53" s="30"/>
      <c r="W53" s="23"/>
      <c r="X53" s="30"/>
      <c r="Y53" s="23"/>
      <c r="Z53" s="24"/>
      <c r="AA53" s="30"/>
      <c r="AB53" s="24"/>
      <c r="AC53" s="24"/>
      <c r="AD53" s="2"/>
      <c r="AE53" s="30"/>
      <c r="AF53" s="30"/>
      <c r="AG53" s="30"/>
      <c r="AH53" s="30"/>
      <c r="AI53" s="51"/>
      <c r="AJ53" s="30"/>
      <c r="AK53" s="51"/>
      <c r="AL53" s="30"/>
      <c r="AM53" s="24"/>
      <c r="AN53" s="30"/>
      <c r="AO53" s="24"/>
      <c r="AP53" s="31"/>
      <c r="AQ53" s="32"/>
      <c r="AR53" s="33"/>
      <c r="AS53" s="33"/>
      <c r="AT53" s="32" t="s">
        <v>27</v>
      </c>
      <c r="AU53" s="33" t="s">
        <v>424</v>
      </c>
      <c r="AV53" s="33"/>
      <c r="AW53" s="33"/>
      <c r="AX53" s="32"/>
      <c r="AY53" s="32"/>
      <c r="AZ53" s="32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</row>
    <row r="54" spans="1:67" x14ac:dyDescent="0.2">
      <c r="A54" s="47" t="s">
        <v>273</v>
      </c>
      <c r="B54" s="52" t="s">
        <v>13</v>
      </c>
      <c r="C54" s="27" t="s">
        <v>14</v>
      </c>
      <c r="D54" s="106">
        <v>53</v>
      </c>
      <c r="E54" s="438" t="s">
        <v>34</v>
      </c>
      <c r="F54" s="441" t="s">
        <v>417</v>
      </c>
      <c r="G54" s="440" t="s">
        <v>98</v>
      </c>
      <c r="H54" s="29" t="s">
        <v>14</v>
      </c>
      <c r="I54" s="576" t="s">
        <v>418</v>
      </c>
      <c r="J54" s="47" t="s">
        <v>92</v>
      </c>
      <c r="K54" s="27" t="s">
        <v>419</v>
      </c>
      <c r="L54" s="27" t="s">
        <v>21</v>
      </c>
      <c r="M54" s="27" t="s">
        <v>420</v>
      </c>
      <c r="N54" s="27" t="s">
        <v>23</v>
      </c>
      <c r="O54" s="30" t="s">
        <v>854</v>
      </c>
      <c r="P54" s="442"/>
      <c r="Q54" s="488" t="s">
        <v>358</v>
      </c>
      <c r="R54" s="488" t="s">
        <v>421</v>
      </c>
      <c r="S54" s="442" t="s">
        <v>360</v>
      </c>
      <c r="T54" s="442" t="s">
        <v>422</v>
      </c>
      <c r="U54" s="442" t="s">
        <v>21</v>
      </c>
      <c r="V54" s="442" t="s">
        <v>423</v>
      </c>
      <c r="W54" s="23"/>
      <c r="X54" s="30"/>
      <c r="Y54" s="23"/>
      <c r="Z54" s="24"/>
      <c r="AA54" s="30"/>
      <c r="AB54" s="30"/>
      <c r="AC54" s="24"/>
      <c r="AD54" s="93"/>
      <c r="AE54" s="24"/>
      <c r="AF54" s="24"/>
      <c r="AG54" s="24"/>
      <c r="AH54" s="30"/>
      <c r="AI54" s="24"/>
      <c r="AJ54" s="30"/>
      <c r="AK54" s="24"/>
      <c r="AL54" s="30"/>
      <c r="AM54" s="24"/>
      <c r="AN54" s="30"/>
      <c r="AO54" s="24"/>
      <c r="AP54" s="31"/>
      <c r="AQ54" s="32"/>
      <c r="AR54" s="33"/>
      <c r="AS54" s="33"/>
      <c r="AT54" s="32" t="s">
        <v>27</v>
      </c>
      <c r="AU54" s="33" t="s">
        <v>431</v>
      </c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</row>
    <row r="55" spans="1:67" x14ac:dyDescent="0.2">
      <c r="A55" s="51" t="s">
        <v>273</v>
      </c>
      <c r="B55" s="52" t="s">
        <v>13</v>
      </c>
      <c r="C55" s="30" t="s">
        <v>14</v>
      </c>
      <c r="D55" s="106">
        <v>54</v>
      </c>
      <c r="E55" s="460" t="s">
        <v>34</v>
      </c>
      <c r="F55" s="462" t="s">
        <v>425</v>
      </c>
      <c r="G55" s="460" t="s">
        <v>426</v>
      </c>
      <c r="H55" s="29" t="s">
        <v>14</v>
      </c>
      <c r="I55" s="576" t="s">
        <v>427</v>
      </c>
      <c r="J55" s="47" t="s">
        <v>92</v>
      </c>
      <c r="K55" s="27" t="s">
        <v>428</v>
      </c>
      <c r="L55" s="27" t="s">
        <v>21</v>
      </c>
      <c r="M55" s="27" t="s">
        <v>429</v>
      </c>
      <c r="N55" s="27" t="s">
        <v>23</v>
      </c>
      <c r="O55" s="30" t="s">
        <v>430</v>
      </c>
      <c r="P55" s="30"/>
      <c r="Q55" s="41"/>
      <c r="R55" s="41"/>
      <c r="S55" s="41"/>
      <c r="T55" s="41"/>
      <c r="U55" s="41"/>
      <c r="V55" s="41"/>
      <c r="W55" s="23"/>
      <c r="X55" s="30"/>
      <c r="Y55" s="23"/>
      <c r="Z55" s="24"/>
      <c r="AA55" s="30"/>
      <c r="AB55" s="24"/>
      <c r="AC55" s="24"/>
      <c r="AD55" s="2"/>
      <c r="AE55" s="24"/>
      <c r="AF55" s="24"/>
      <c r="AG55" s="24"/>
      <c r="AH55" s="30"/>
      <c r="AI55" s="24"/>
      <c r="AJ55" s="30"/>
      <c r="AK55" s="24"/>
      <c r="AL55" s="30"/>
      <c r="AM55" s="24"/>
      <c r="AN55" s="30"/>
      <c r="AO55" s="24"/>
      <c r="AP55" s="31"/>
      <c r="AQ55" s="32"/>
      <c r="AR55" s="33"/>
      <c r="AS55" s="33"/>
      <c r="AT55" s="32" t="s">
        <v>27</v>
      </c>
      <c r="AU55" s="33" t="s">
        <v>438</v>
      </c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</row>
    <row r="56" spans="1:67" x14ac:dyDescent="0.2">
      <c r="A56" s="51" t="s">
        <v>432</v>
      </c>
      <c r="B56" s="52" t="s">
        <v>13</v>
      </c>
      <c r="C56" s="30" t="s">
        <v>14</v>
      </c>
      <c r="D56" s="106">
        <v>55</v>
      </c>
      <c r="E56" s="424" t="s">
        <v>265</v>
      </c>
      <c r="F56" s="425" t="s">
        <v>433</v>
      </c>
      <c r="G56" s="426" t="s">
        <v>206</v>
      </c>
      <c r="H56" s="47" t="s">
        <v>14</v>
      </c>
      <c r="I56" s="573" t="s">
        <v>434</v>
      </c>
      <c r="J56" s="27" t="s">
        <v>19</v>
      </c>
      <c r="K56" s="27" t="s">
        <v>435</v>
      </c>
      <c r="L56" s="27" t="s">
        <v>21</v>
      </c>
      <c r="M56" s="27" t="s">
        <v>436</v>
      </c>
      <c r="N56" s="27" t="s">
        <v>23</v>
      </c>
      <c r="O56" s="30" t="s">
        <v>415</v>
      </c>
      <c r="P56" s="30"/>
      <c r="Q56" s="29"/>
      <c r="R56" s="29"/>
      <c r="S56" s="30"/>
      <c r="T56" s="24"/>
      <c r="U56" s="30"/>
      <c r="V56" s="30"/>
      <c r="W56" s="118"/>
      <c r="X56" s="24"/>
      <c r="Y56" s="23"/>
      <c r="Z56" s="24"/>
      <c r="AA56" s="30"/>
      <c r="AB56" s="24"/>
      <c r="AC56" s="24"/>
      <c r="AD56" s="2"/>
      <c r="AE56" s="24"/>
      <c r="AF56" s="24"/>
      <c r="AG56" s="24"/>
      <c r="AH56" s="30"/>
      <c r="AI56" s="24"/>
      <c r="AJ56" s="30"/>
      <c r="AK56" s="24"/>
      <c r="AL56" s="30"/>
      <c r="AM56" s="24"/>
      <c r="AN56" s="30"/>
      <c r="AO56" s="24"/>
      <c r="AP56" s="31"/>
      <c r="AQ56" s="32"/>
      <c r="AR56" s="33"/>
      <c r="AS56" s="33"/>
      <c r="AT56" s="32" t="s">
        <v>27</v>
      </c>
      <c r="AU56" s="33" t="s">
        <v>444</v>
      </c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</row>
    <row r="57" spans="1:67" x14ac:dyDescent="0.2">
      <c r="A57" s="51" t="s">
        <v>87</v>
      </c>
      <c r="B57" s="52" t="s">
        <v>13</v>
      </c>
      <c r="C57" s="30" t="s">
        <v>14</v>
      </c>
      <c r="D57" s="114">
        <v>56</v>
      </c>
      <c r="E57" s="424" t="s">
        <v>53</v>
      </c>
      <c r="F57" s="425" t="s">
        <v>2197</v>
      </c>
      <c r="G57" s="426" t="s">
        <v>2198</v>
      </c>
      <c r="H57" s="29" t="s">
        <v>14</v>
      </c>
      <c r="I57" s="573" t="s">
        <v>441</v>
      </c>
      <c r="J57" s="47" t="s">
        <v>276</v>
      </c>
      <c r="K57" s="27" t="s">
        <v>442</v>
      </c>
      <c r="L57" s="27" t="s">
        <v>21</v>
      </c>
      <c r="M57" s="39">
        <v>278446</v>
      </c>
      <c r="N57" s="27" t="s">
        <v>23</v>
      </c>
      <c r="O57" s="30" t="s">
        <v>443</v>
      </c>
      <c r="P57" s="30"/>
      <c r="Q57" s="29"/>
      <c r="R57" s="29"/>
      <c r="S57" s="44"/>
      <c r="T57" s="24"/>
      <c r="U57" s="30"/>
      <c r="V57" s="30"/>
      <c r="W57" s="23"/>
      <c r="X57" s="30"/>
      <c r="Y57" s="23"/>
      <c r="Z57" s="24"/>
      <c r="AA57" s="30"/>
      <c r="AB57" s="24"/>
      <c r="AC57" s="51"/>
      <c r="AD57" s="2"/>
      <c r="AE57" s="24"/>
      <c r="AF57" s="30"/>
      <c r="AG57" s="24"/>
      <c r="AH57" s="30"/>
      <c r="AI57" s="24"/>
      <c r="AJ57" s="30"/>
      <c r="AK57" s="24"/>
      <c r="AL57" s="51"/>
      <c r="AM57" s="30"/>
      <c r="AN57" s="30"/>
      <c r="AO57" s="51"/>
      <c r="AP57" s="31"/>
      <c r="AQ57" s="32"/>
      <c r="AR57" s="33"/>
      <c r="AS57" s="33"/>
      <c r="AT57" s="32" t="s">
        <v>27</v>
      </c>
      <c r="AU57" s="33" t="s">
        <v>452</v>
      </c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</row>
    <row r="58" spans="1:67" x14ac:dyDescent="0.2">
      <c r="A58" s="51" t="s">
        <v>432</v>
      </c>
      <c r="B58" s="51" t="s">
        <v>13</v>
      </c>
      <c r="C58" s="30" t="s">
        <v>14</v>
      </c>
      <c r="D58" s="106">
        <v>57</v>
      </c>
      <c r="E58" s="424" t="s">
        <v>445</v>
      </c>
      <c r="F58" s="425" t="s">
        <v>446</v>
      </c>
      <c r="G58" s="426" t="s">
        <v>447</v>
      </c>
      <c r="H58" s="29" t="s">
        <v>14</v>
      </c>
      <c r="I58" s="576" t="s">
        <v>448</v>
      </c>
      <c r="J58" s="47" t="s">
        <v>19</v>
      </c>
      <c r="K58" s="27" t="s">
        <v>449</v>
      </c>
      <c r="L58" s="27" t="s">
        <v>21</v>
      </c>
      <c r="M58" s="27" t="s">
        <v>450</v>
      </c>
      <c r="N58" s="27" t="s">
        <v>23</v>
      </c>
      <c r="O58" s="30" t="s">
        <v>451</v>
      </c>
      <c r="P58" s="30"/>
      <c r="Q58" s="27"/>
      <c r="R58" s="2"/>
      <c r="S58" s="2"/>
      <c r="T58" s="2"/>
      <c r="U58" s="30"/>
      <c r="V58" s="51"/>
      <c r="W58" s="23"/>
      <c r="X58" s="30"/>
      <c r="Y58" s="23"/>
      <c r="Z58" s="24"/>
      <c r="AA58" s="30"/>
      <c r="AB58" s="30"/>
      <c r="AC58" s="30"/>
      <c r="AD58" s="30"/>
      <c r="AE58" s="30"/>
      <c r="AF58" s="30"/>
      <c r="AG58" s="30"/>
      <c r="AH58" s="30"/>
      <c r="AI58" s="24"/>
      <c r="AJ58" s="30"/>
      <c r="AK58" s="24"/>
      <c r="AL58" s="30"/>
      <c r="AM58" s="24"/>
      <c r="AN58" s="30"/>
      <c r="AO58" s="24"/>
      <c r="AP58" s="115"/>
      <c r="AQ58" s="32"/>
      <c r="AR58" s="33"/>
      <c r="AS58" s="33"/>
      <c r="AT58" s="32" t="s">
        <v>27</v>
      </c>
      <c r="AU58" s="33" t="s">
        <v>458</v>
      </c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</row>
    <row r="59" spans="1:67" x14ac:dyDescent="0.2">
      <c r="A59" s="51" t="s">
        <v>432</v>
      </c>
      <c r="B59" s="51" t="s">
        <v>13</v>
      </c>
      <c r="C59" s="30" t="s">
        <v>14</v>
      </c>
      <c r="D59" s="106">
        <v>58</v>
      </c>
      <c r="E59" s="424" t="s">
        <v>44</v>
      </c>
      <c r="F59" s="425" t="s">
        <v>2193</v>
      </c>
      <c r="G59" s="425" t="s">
        <v>2194</v>
      </c>
      <c r="H59" s="29" t="s">
        <v>14</v>
      </c>
      <c r="I59" s="573" t="s">
        <v>454</v>
      </c>
      <c r="J59" s="47" t="s">
        <v>92</v>
      </c>
      <c r="K59" s="27" t="s">
        <v>455</v>
      </c>
      <c r="L59" s="27" t="s">
        <v>21</v>
      </c>
      <c r="M59" s="27" t="s">
        <v>456</v>
      </c>
      <c r="N59" s="27" t="s">
        <v>23</v>
      </c>
      <c r="O59" s="30" t="s">
        <v>457</v>
      </c>
      <c r="P59" s="30"/>
      <c r="Q59" s="27"/>
      <c r="R59" s="27"/>
      <c r="S59" s="30"/>
      <c r="T59" s="24"/>
      <c r="U59" s="30"/>
      <c r="V59" s="30"/>
      <c r="W59" s="23"/>
      <c r="X59" s="24"/>
      <c r="Y59" s="23"/>
      <c r="Z59" s="24"/>
      <c r="AA59" s="30"/>
      <c r="AB59" s="30"/>
      <c r="AC59" s="30"/>
      <c r="AD59" s="30"/>
      <c r="AE59" s="30"/>
      <c r="AF59" s="30"/>
      <c r="AG59" s="30"/>
      <c r="AH59" s="30"/>
      <c r="AI59" s="24"/>
      <c r="AJ59" s="30"/>
      <c r="AK59" s="24"/>
      <c r="AL59" s="30"/>
      <c r="AM59" s="24"/>
      <c r="AN59" s="30"/>
      <c r="AO59" s="24"/>
      <c r="AP59" s="31"/>
      <c r="AQ59" s="32"/>
      <c r="AR59" s="33"/>
      <c r="AS59" s="33"/>
      <c r="AT59" s="32" t="s">
        <v>27</v>
      </c>
      <c r="AU59" s="33" t="s">
        <v>465</v>
      </c>
      <c r="AV59" s="32"/>
      <c r="AW59" s="32"/>
      <c r="AX59" s="32"/>
      <c r="AY59" s="32"/>
      <c r="AZ59" s="32"/>
      <c r="BA59" s="32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</row>
    <row r="60" spans="1:67" x14ac:dyDescent="0.2">
      <c r="A60" s="51" t="s">
        <v>432</v>
      </c>
      <c r="B60" s="51" t="s">
        <v>13</v>
      </c>
      <c r="C60" s="30" t="s">
        <v>14</v>
      </c>
      <c r="D60" s="106">
        <v>59</v>
      </c>
      <c r="E60" s="450" t="s">
        <v>34</v>
      </c>
      <c r="F60" s="441" t="s">
        <v>2215</v>
      </c>
      <c r="G60" s="440" t="s">
        <v>2206</v>
      </c>
      <c r="H60" s="29" t="s">
        <v>14</v>
      </c>
      <c r="I60" s="581" t="s">
        <v>461</v>
      </c>
      <c r="J60" s="47" t="s">
        <v>92</v>
      </c>
      <c r="K60" s="47" t="s">
        <v>462</v>
      </c>
      <c r="L60" s="27" t="s">
        <v>21</v>
      </c>
      <c r="M60" s="27" t="s">
        <v>463</v>
      </c>
      <c r="N60" s="27" t="s">
        <v>23</v>
      </c>
      <c r="O60" s="30" t="s">
        <v>2216</v>
      </c>
      <c r="P60" s="448" t="s">
        <v>2214</v>
      </c>
      <c r="Q60" s="449"/>
      <c r="R60" s="449"/>
      <c r="S60" s="30"/>
      <c r="T60" s="24"/>
      <c r="U60" s="30"/>
      <c r="V60" s="30"/>
      <c r="W60" s="23"/>
      <c r="X60" s="30"/>
      <c r="Y60" s="23"/>
      <c r="Z60" s="24"/>
      <c r="AA60" s="30"/>
      <c r="AB60" s="30"/>
      <c r="AC60" s="30"/>
      <c r="AD60" s="30"/>
      <c r="AE60" s="30"/>
      <c r="AF60" s="30"/>
      <c r="AG60" s="30"/>
      <c r="AH60" s="30"/>
      <c r="AI60" s="24"/>
      <c r="AJ60" s="30"/>
      <c r="AK60" s="24"/>
      <c r="AL60" s="30"/>
      <c r="AM60" s="24"/>
      <c r="AN60" s="30"/>
      <c r="AO60" s="24"/>
      <c r="AP60" s="107"/>
      <c r="AQ60" s="67"/>
      <c r="AR60" s="69"/>
      <c r="AS60" s="69"/>
      <c r="AT60" s="67" t="s">
        <v>27</v>
      </c>
      <c r="AU60" s="69" t="s">
        <v>472</v>
      </c>
      <c r="AV60" s="67"/>
      <c r="AW60" s="67"/>
      <c r="AX60" s="67"/>
      <c r="AY60" s="67"/>
      <c r="AZ60" s="67"/>
      <c r="BA60" s="67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</row>
    <row r="61" spans="1:67" x14ac:dyDescent="0.2">
      <c r="A61" s="51" t="s">
        <v>432</v>
      </c>
      <c r="B61" s="51" t="s">
        <v>13</v>
      </c>
      <c r="C61" s="30" t="s">
        <v>14</v>
      </c>
      <c r="D61" s="114">
        <v>60</v>
      </c>
      <c r="E61" s="432" t="s">
        <v>88</v>
      </c>
      <c r="F61" s="433" t="s">
        <v>466</v>
      </c>
      <c r="G61" s="426" t="s">
        <v>467</v>
      </c>
      <c r="H61" s="29" t="s">
        <v>14</v>
      </c>
      <c r="I61" s="573" t="s">
        <v>468</v>
      </c>
      <c r="J61" s="47" t="s">
        <v>92</v>
      </c>
      <c r="K61" s="27" t="s">
        <v>469</v>
      </c>
      <c r="L61" s="27" t="s">
        <v>21</v>
      </c>
      <c r="M61" s="47" t="s">
        <v>470</v>
      </c>
      <c r="N61" s="47" t="s">
        <v>23</v>
      </c>
      <c r="O61" s="30" t="s">
        <v>2195</v>
      </c>
      <c r="P61" s="30"/>
      <c r="Q61" s="27"/>
      <c r="R61" s="27"/>
      <c r="S61" s="30"/>
      <c r="T61" s="24"/>
      <c r="U61" s="30"/>
      <c r="V61" s="30"/>
      <c r="W61" s="30"/>
      <c r="X61" s="30"/>
      <c r="Y61" s="23"/>
      <c r="Z61" s="24"/>
      <c r="AA61" s="30"/>
      <c r="AB61" s="30"/>
      <c r="AC61" s="30"/>
      <c r="AD61" s="30"/>
      <c r="AE61" s="30"/>
      <c r="AF61" s="30"/>
      <c r="AG61" s="30"/>
      <c r="AH61" s="30"/>
      <c r="AI61" s="24"/>
      <c r="AJ61" s="30"/>
      <c r="AK61" s="24"/>
      <c r="AL61" s="30"/>
      <c r="AM61" s="24"/>
      <c r="AN61" s="30"/>
      <c r="AO61" s="24"/>
      <c r="AP61" s="108"/>
      <c r="AQ61" s="73"/>
      <c r="AR61" s="75"/>
      <c r="AS61" s="75"/>
      <c r="AT61" s="73" t="s">
        <v>27</v>
      </c>
      <c r="AU61" s="75" t="s">
        <v>479</v>
      </c>
      <c r="AV61" s="73"/>
      <c r="AW61" s="73"/>
      <c r="AX61" s="73"/>
      <c r="AY61" s="73"/>
      <c r="AZ61" s="73"/>
      <c r="BA61" s="73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</row>
    <row r="62" spans="1:67" x14ac:dyDescent="0.2">
      <c r="A62" s="51" t="s">
        <v>432</v>
      </c>
      <c r="B62" s="51" t="s">
        <v>13</v>
      </c>
      <c r="C62" s="30" t="s">
        <v>14</v>
      </c>
      <c r="D62" s="114">
        <v>61</v>
      </c>
      <c r="E62" s="466" t="s">
        <v>88</v>
      </c>
      <c r="F62" s="439" t="s">
        <v>2227</v>
      </c>
      <c r="G62" s="440" t="s">
        <v>2206</v>
      </c>
      <c r="H62" s="29" t="s">
        <v>14</v>
      </c>
      <c r="I62" s="573" t="s">
        <v>475</v>
      </c>
      <c r="J62" s="47" t="s">
        <v>92</v>
      </c>
      <c r="K62" s="27" t="s">
        <v>476</v>
      </c>
      <c r="L62" s="27" t="s">
        <v>21</v>
      </c>
      <c r="M62" s="47" t="s">
        <v>477</v>
      </c>
      <c r="N62" s="30" t="s">
        <v>23</v>
      </c>
      <c r="O62" s="51" t="s">
        <v>478</v>
      </c>
      <c r="P62" s="465" t="s">
        <v>2220</v>
      </c>
      <c r="Q62" s="27"/>
      <c r="R62" s="27"/>
      <c r="S62" s="30"/>
      <c r="T62" s="24"/>
      <c r="U62" s="30"/>
      <c r="V62" s="30"/>
      <c r="W62" s="30"/>
      <c r="X62" s="30"/>
      <c r="Y62" s="23"/>
      <c r="Z62" s="30"/>
      <c r="AA62" s="30"/>
      <c r="AB62" s="30"/>
      <c r="AC62" s="30"/>
      <c r="AD62" s="30"/>
      <c r="AE62" s="30"/>
      <c r="AF62" s="30"/>
      <c r="AG62" s="30"/>
      <c r="AH62" s="30"/>
      <c r="AI62" s="24"/>
      <c r="AJ62" s="30"/>
      <c r="AK62" s="24"/>
      <c r="AL62" s="30"/>
      <c r="AM62" s="24"/>
      <c r="AN62" s="30"/>
      <c r="AO62" s="24"/>
      <c r="AP62" s="31"/>
      <c r="AQ62" s="32"/>
      <c r="AR62" s="33"/>
      <c r="AS62" s="33"/>
      <c r="AT62" s="32" t="s">
        <v>27</v>
      </c>
      <c r="AU62" s="33" t="s">
        <v>485</v>
      </c>
      <c r="AV62" s="32"/>
      <c r="AW62" s="32"/>
      <c r="AX62" s="32"/>
      <c r="AY62" s="32"/>
      <c r="AZ62" s="32"/>
      <c r="BA62" s="32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</row>
    <row r="63" spans="1:67" x14ac:dyDescent="0.2">
      <c r="A63" s="20" t="s">
        <v>480</v>
      </c>
      <c r="B63" s="109" t="s">
        <v>2256</v>
      </c>
      <c r="C63" s="15" t="s">
        <v>14</v>
      </c>
      <c r="D63" s="121">
        <v>62</v>
      </c>
      <c r="E63" s="570"/>
      <c r="F63" s="571" t="s">
        <v>769</v>
      </c>
      <c r="G63" s="566"/>
      <c r="H63" s="19" t="s">
        <v>14</v>
      </c>
      <c r="I63" s="582" t="s">
        <v>482</v>
      </c>
      <c r="J63" s="20" t="s">
        <v>92</v>
      </c>
      <c r="K63" s="14" t="s">
        <v>483</v>
      </c>
      <c r="L63" s="14" t="s">
        <v>21</v>
      </c>
      <c r="M63" s="20" t="s">
        <v>484</v>
      </c>
      <c r="N63" s="15" t="s">
        <v>23</v>
      </c>
      <c r="O63" s="109" t="s">
        <v>2263</v>
      </c>
      <c r="P63" s="51" t="s">
        <v>2248</v>
      </c>
      <c r="Q63" s="14"/>
      <c r="R63" s="21"/>
      <c r="S63" s="15"/>
      <c r="T63" s="111"/>
      <c r="U63" s="15"/>
      <c r="V63" s="15"/>
      <c r="W63" s="15"/>
      <c r="X63" s="15"/>
      <c r="Y63" s="23"/>
      <c r="Z63" s="24"/>
      <c r="AA63" s="30"/>
      <c r="AB63" s="30"/>
      <c r="AC63" s="30"/>
      <c r="AD63" s="30"/>
      <c r="AE63" s="30"/>
      <c r="AF63" s="30"/>
      <c r="AG63" s="30"/>
      <c r="AH63" s="30"/>
      <c r="AI63" s="24"/>
      <c r="AJ63" s="30"/>
      <c r="AK63" s="24"/>
      <c r="AL63" s="30"/>
      <c r="AM63" s="24"/>
      <c r="AN63" s="30"/>
      <c r="AO63" s="24"/>
      <c r="AP63" s="31"/>
      <c r="AQ63" s="32"/>
      <c r="AR63" s="33"/>
      <c r="AS63" s="32"/>
      <c r="AT63" s="32" t="s">
        <v>27</v>
      </c>
      <c r="AU63" s="33" t="s">
        <v>492</v>
      </c>
      <c r="AV63" s="32"/>
      <c r="AW63" s="32"/>
      <c r="AX63" s="32"/>
      <c r="AY63" s="33"/>
      <c r="AZ63" s="32"/>
      <c r="BA63" s="32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</row>
    <row r="64" spans="1:67" x14ac:dyDescent="0.2">
      <c r="A64" s="25" t="s">
        <v>480</v>
      </c>
      <c r="B64" s="51" t="s">
        <v>13</v>
      </c>
      <c r="C64" s="30" t="s">
        <v>14</v>
      </c>
      <c r="D64" s="114">
        <v>63</v>
      </c>
      <c r="E64" s="524" t="s">
        <v>445</v>
      </c>
      <c r="F64" s="526" t="s">
        <v>486</v>
      </c>
      <c r="G64" s="459" t="s">
        <v>487</v>
      </c>
      <c r="H64" s="29" t="s">
        <v>14</v>
      </c>
      <c r="I64" s="573" t="s">
        <v>488</v>
      </c>
      <c r="J64" s="47" t="s">
        <v>92</v>
      </c>
      <c r="K64" s="47" t="s">
        <v>489</v>
      </c>
      <c r="L64" s="27" t="s">
        <v>21</v>
      </c>
      <c r="M64" s="47" t="s">
        <v>490</v>
      </c>
      <c r="N64" s="27" t="s">
        <v>23</v>
      </c>
      <c r="O64" s="51" t="s">
        <v>491</v>
      </c>
      <c r="P64" s="495" t="s">
        <v>2226</v>
      </c>
      <c r="Q64" s="27"/>
      <c r="R64" s="27"/>
      <c r="S64" s="30"/>
      <c r="T64" s="24"/>
      <c r="U64" s="30"/>
      <c r="V64" s="30"/>
      <c r="W64" s="41"/>
      <c r="X64" s="41"/>
      <c r="Y64" s="112"/>
      <c r="Z64" s="30"/>
      <c r="AA64" s="30"/>
      <c r="AB64" s="30"/>
      <c r="AC64" s="30"/>
      <c r="AD64" s="30"/>
      <c r="AE64" s="30"/>
      <c r="AF64" s="30"/>
      <c r="AG64" s="30"/>
      <c r="AH64" s="30"/>
      <c r="AI64" s="24"/>
      <c r="AJ64" s="30"/>
      <c r="AK64" s="24"/>
      <c r="AL64" s="30"/>
      <c r="AM64" s="24"/>
      <c r="AN64" s="30"/>
      <c r="AO64" s="24"/>
      <c r="AP64" s="31"/>
      <c r="AQ64" s="32"/>
      <c r="AR64" s="33"/>
      <c r="AS64" s="33"/>
      <c r="AT64" s="32" t="s">
        <v>27</v>
      </c>
      <c r="AU64" s="33" t="s">
        <v>499</v>
      </c>
      <c r="AV64" s="32"/>
      <c r="AW64" s="32"/>
      <c r="AX64" s="32"/>
      <c r="AY64" s="32"/>
      <c r="AZ64" s="32"/>
      <c r="BA64" s="32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</row>
    <row r="65" spans="1:67" x14ac:dyDescent="0.2">
      <c r="A65" s="25" t="s">
        <v>480</v>
      </c>
      <c r="B65" s="51" t="s">
        <v>13</v>
      </c>
      <c r="C65" s="30" t="s">
        <v>14</v>
      </c>
      <c r="D65" s="106">
        <v>64</v>
      </c>
      <c r="E65" s="460" t="s">
        <v>88</v>
      </c>
      <c r="F65" s="462" t="s">
        <v>493</v>
      </c>
      <c r="G65" s="460" t="s">
        <v>494</v>
      </c>
      <c r="H65" s="29" t="s">
        <v>14</v>
      </c>
      <c r="I65" s="576" t="s">
        <v>495</v>
      </c>
      <c r="J65" s="47" t="s">
        <v>92</v>
      </c>
      <c r="K65" s="47" t="s">
        <v>496</v>
      </c>
      <c r="L65" s="27" t="s">
        <v>21</v>
      </c>
      <c r="M65" s="27" t="s">
        <v>497</v>
      </c>
      <c r="N65" s="30" t="s">
        <v>23</v>
      </c>
      <c r="O65" s="25" t="s">
        <v>498</v>
      </c>
      <c r="P65" s="41"/>
      <c r="Q65" s="41"/>
      <c r="R65" s="27"/>
      <c r="S65" s="30"/>
      <c r="T65" s="24"/>
      <c r="U65" s="30"/>
      <c r="V65" s="30"/>
      <c r="W65" s="30"/>
      <c r="X65" s="30"/>
      <c r="Y65" s="23"/>
      <c r="Z65" s="30"/>
      <c r="AA65" s="30"/>
      <c r="AB65" s="30"/>
      <c r="AC65" s="30"/>
      <c r="AD65" s="30"/>
      <c r="AE65" s="30"/>
      <c r="AF65" s="30"/>
      <c r="AG65" s="30"/>
      <c r="AH65" s="30"/>
      <c r="AI65" s="24"/>
      <c r="AJ65" s="30"/>
      <c r="AK65" s="24"/>
      <c r="AL65" s="30"/>
      <c r="AM65" s="24"/>
      <c r="AN65" s="30"/>
      <c r="AO65" s="24"/>
      <c r="AP65" s="31"/>
      <c r="AQ65" s="32"/>
      <c r="AR65" s="33"/>
      <c r="AS65" s="33"/>
      <c r="AT65" s="32" t="s">
        <v>27</v>
      </c>
      <c r="AU65" s="126" t="s">
        <v>505</v>
      </c>
      <c r="AV65" s="32"/>
      <c r="AW65" s="32"/>
      <c r="AX65" s="32"/>
      <c r="AY65" s="32"/>
      <c r="AZ65" s="32"/>
      <c r="BA65" s="32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</row>
    <row r="66" spans="1:67" x14ac:dyDescent="0.2">
      <c r="A66" s="22" t="s">
        <v>480</v>
      </c>
      <c r="B66" s="109" t="s">
        <v>2256</v>
      </c>
      <c r="C66" s="15" t="s">
        <v>14</v>
      </c>
      <c r="D66" s="121">
        <v>65</v>
      </c>
      <c r="E66" s="567"/>
      <c r="F66" s="568" t="s">
        <v>748</v>
      </c>
      <c r="G66" s="569"/>
      <c r="H66" s="19" t="s">
        <v>14</v>
      </c>
      <c r="I66" s="582" t="s">
        <v>502</v>
      </c>
      <c r="J66" s="20" t="s">
        <v>92</v>
      </c>
      <c r="K66" s="14" t="s">
        <v>503</v>
      </c>
      <c r="L66" s="14" t="s">
        <v>21</v>
      </c>
      <c r="M66" s="14" t="s">
        <v>504</v>
      </c>
      <c r="N66" s="14" t="s">
        <v>23</v>
      </c>
      <c r="O66" s="109" t="s">
        <v>2262</v>
      </c>
      <c r="P66" s="109" t="s">
        <v>2264</v>
      </c>
      <c r="Q66" s="14"/>
      <c r="R66" s="21"/>
      <c r="S66" s="15"/>
      <c r="T66" s="111"/>
      <c r="U66" s="15"/>
      <c r="V66" s="15"/>
      <c r="W66" s="15"/>
      <c r="X66" s="15"/>
      <c r="Y66" s="23"/>
      <c r="Z66" s="30"/>
      <c r="AA66" s="30"/>
      <c r="AB66" s="30"/>
      <c r="AC66" s="30"/>
      <c r="AD66" s="30"/>
      <c r="AE66" s="30"/>
      <c r="AF66" s="30"/>
      <c r="AG66" s="30"/>
      <c r="AH66" s="30"/>
      <c r="AI66" s="24"/>
      <c r="AJ66" s="30"/>
      <c r="AK66" s="24"/>
      <c r="AL66" s="30"/>
      <c r="AM66" s="24"/>
      <c r="AN66" s="30"/>
      <c r="AO66" s="24"/>
      <c r="AP66" s="31"/>
      <c r="AQ66" s="32"/>
      <c r="AR66" s="33"/>
      <c r="AS66" s="33"/>
      <c r="AT66" s="32" t="s">
        <v>27</v>
      </c>
      <c r="AU66" s="33" t="s">
        <v>511</v>
      </c>
      <c r="AV66" s="32"/>
      <c r="AW66" s="32"/>
      <c r="AX66" s="32"/>
      <c r="AY66" s="32"/>
      <c r="AZ66" s="32"/>
      <c r="BA66" s="32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</row>
    <row r="67" spans="1:67" x14ac:dyDescent="0.2">
      <c r="A67" s="25" t="s">
        <v>480</v>
      </c>
      <c r="B67" s="51" t="s">
        <v>13</v>
      </c>
      <c r="C67" s="30" t="s">
        <v>14</v>
      </c>
      <c r="D67" s="114">
        <v>66</v>
      </c>
      <c r="E67" s="456" t="s">
        <v>44</v>
      </c>
      <c r="F67" s="457" t="s">
        <v>2228</v>
      </c>
      <c r="G67" s="440" t="s">
        <v>808</v>
      </c>
      <c r="H67" s="29" t="s">
        <v>14</v>
      </c>
      <c r="I67" s="573" t="s">
        <v>508</v>
      </c>
      <c r="J67" s="47" t="s">
        <v>92</v>
      </c>
      <c r="K67" s="27" t="s">
        <v>509</v>
      </c>
      <c r="L67" s="27" t="s">
        <v>21</v>
      </c>
      <c r="M67" s="47" t="s">
        <v>510</v>
      </c>
      <c r="N67" s="27" t="s">
        <v>23</v>
      </c>
      <c r="O67" s="40" t="s">
        <v>2260</v>
      </c>
      <c r="P67" s="40"/>
      <c r="Q67" s="41"/>
      <c r="R67" s="27"/>
      <c r="S67" s="30"/>
      <c r="T67" s="24"/>
      <c r="U67" s="30"/>
      <c r="V67" s="30"/>
      <c r="W67" s="30"/>
      <c r="X67" s="30"/>
      <c r="Y67" s="23"/>
      <c r="Z67" s="30"/>
      <c r="AA67" s="30"/>
      <c r="AB67" s="30"/>
      <c r="AC67" s="30"/>
      <c r="AD67" s="30"/>
      <c r="AE67" s="24"/>
      <c r="AF67" s="30"/>
      <c r="AG67" s="30"/>
      <c r="AH67" s="30"/>
      <c r="AI67" s="24"/>
      <c r="AJ67" s="30"/>
      <c r="AK67" s="24"/>
      <c r="AL67" s="30"/>
      <c r="AM67" s="24"/>
      <c r="AN67" s="30"/>
      <c r="AO67" s="24"/>
      <c r="AP67" s="31"/>
      <c r="AQ67" s="32"/>
      <c r="AR67" s="33"/>
      <c r="AS67" s="33"/>
      <c r="AT67" s="32" t="s">
        <v>27</v>
      </c>
      <c r="AU67" s="33" t="s">
        <v>517</v>
      </c>
      <c r="AV67" s="32"/>
      <c r="AW67" s="32"/>
      <c r="AX67" s="32"/>
      <c r="AY67" s="32"/>
      <c r="AZ67" s="32"/>
      <c r="BA67" s="32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</row>
    <row r="68" spans="1:67" x14ac:dyDescent="0.2">
      <c r="A68" s="25" t="s">
        <v>12</v>
      </c>
      <c r="B68" s="51" t="s">
        <v>2225</v>
      </c>
      <c r="C68" s="30" t="s">
        <v>14</v>
      </c>
      <c r="D68" s="114">
        <v>67</v>
      </c>
      <c r="E68" s="450" t="s">
        <v>44</v>
      </c>
      <c r="F68" s="457" t="s">
        <v>181</v>
      </c>
      <c r="G68" s="441" t="s">
        <v>182</v>
      </c>
      <c r="H68" s="29" t="s">
        <v>14</v>
      </c>
      <c r="I68" s="573" t="s">
        <v>514</v>
      </c>
      <c r="J68" s="47" t="s">
        <v>19</v>
      </c>
      <c r="K68" s="27" t="s">
        <v>184</v>
      </c>
      <c r="L68" s="27" t="s">
        <v>58</v>
      </c>
      <c r="M68" s="47" t="s">
        <v>516</v>
      </c>
      <c r="N68" s="27" t="s">
        <v>23</v>
      </c>
      <c r="O68" s="467">
        <v>6517903</v>
      </c>
      <c r="P68" s="41"/>
      <c r="Q68" s="27"/>
      <c r="R68" s="27"/>
      <c r="S68" s="30"/>
      <c r="T68" s="24"/>
      <c r="U68" s="30"/>
      <c r="V68" s="30"/>
      <c r="W68" s="30"/>
      <c r="X68" s="30"/>
      <c r="Y68" s="23"/>
      <c r="Z68" s="30"/>
      <c r="AA68" s="30"/>
      <c r="AB68" s="30"/>
      <c r="AC68" s="30"/>
      <c r="AD68" s="30"/>
      <c r="AE68" s="30"/>
      <c r="AF68" s="30"/>
      <c r="AG68" s="30"/>
      <c r="AH68" s="30"/>
      <c r="AI68" s="24"/>
      <c r="AJ68" s="30"/>
      <c r="AK68" s="24"/>
      <c r="AL68" s="30"/>
      <c r="AM68" s="24"/>
      <c r="AN68" s="30"/>
      <c r="AO68" s="24"/>
      <c r="AP68" s="31"/>
      <c r="AQ68" s="32"/>
      <c r="AR68" s="33"/>
      <c r="AS68" s="33"/>
      <c r="AT68" s="32" t="s">
        <v>27</v>
      </c>
      <c r="AU68" s="33" t="s">
        <v>523</v>
      </c>
      <c r="AV68" s="32"/>
      <c r="AW68" s="32"/>
      <c r="AX68" s="32"/>
      <c r="AY68" s="32"/>
      <c r="AZ68" s="32"/>
      <c r="BA68" s="32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</row>
    <row r="69" spans="1:67" x14ac:dyDescent="0.2">
      <c r="A69" s="499" t="s">
        <v>480</v>
      </c>
      <c r="B69" s="109" t="s">
        <v>2225</v>
      </c>
      <c r="C69" s="15" t="s">
        <v>14</v>
      </c>
      <c r="D69" s="121">
        <v>68</v>
      </c>
      <c r="E69" s="502" t="s">
        <v>44</v>
      </c>
      <c r="F69" s="505" t="s">
        <v>518</v>
      </c>
      <c r="G69" s="464" t="s">
        <v>519</v>
      </c>
      <c r="H69" s="19" t="s">
        <v>14</v>
      </c>
      <c r="I69" s="582" t="s">
        <v>520</v>
      </c>
      <c r="J69" s="20" t="s">
        <v>92</v>
      </c>
      <c r="K69" s="14" t="s">
        <v>521</v>
      </c>
      <c r="L69" s="14"/>
      <c r="M69" s="20"/>
      <c r="N69" s="15" t="s">
        <v>23</v>
      </c>
      <c r="O69" s="463">
        <v>6542697</v>
      </c>
      <c r="P69" s="41"/>
      <c r="Q69" s="14"/>
      <c r="R69" s="14"/>
      <c r="S69" s="111"/>
      <c r="T69" s="111"/>
      <c r="U69" s="15"/>
      <c r="V69" s="15"/>
      <c r="W69" s="15"/>
      <c r="X69" s="15"/>
      <c r="Y69" s="23"/>
      <c r="Z69" s="24"/>
      <c r="AA69" s="30"/>
      <c r="AB69" s="30"/>
      <c r="AC69" s="30"/>
      <c r="AD69" s="30"/>
      <c r="AE69" s="30"/>
      <c r="AF69" s="30"/>
      <c r="AG69" s="30"/>
      <c r="AH69" s="30"/>
      <c r="AI69" s="24"/>
      <c r="AJ69" s="30"/>
      <c r="AK69" s="24"/>
      <c r="AL69" s="30"/>
      <c r="AM69" s="24"/>
      <c r="AN69" s="30"/>
      <c r="AO69" s="24"/>
      <c r="AP69" s="31"/>
      <c r="AQ69" s="32"/>
      <c r="AR69" s="33"/>
      <c r="AS69" s="33"/>
      <c r="AT69" s="32" t="s">
        <v>27</v>
      </c>
      <c r="AU69" s="33" t="s">
        <v>530</v>
      </c>
      <c r="AV69" s="32"/>
      <c r="AW69" s="32"/>
      <c r="AX69" s="33"/>
      <c r="AY69" s="33"/>
      <c r="AZ69" s="32"/>
      <c r="BA69" s="32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</row>
    <row r="70" spans="1:67" x14ac:dyDescent="0.2">
      <c r="A70" s="52" t="s">
        <v>524</v>
      </c>
      <c r="B70" s="51" t="s">
        <v>13</v>
      </c>
      <c r="C70" s="30" t="s">
        <v>14</v>
      </c>
      <c r="D70" s="114">
        <v>69</v>
      </c>
      <c r="E70" s="439" t="s">
        <v>445</v>
      </c>
      <c r="F70" s="439" t="s">
        <v>525</v>
      </c>
      <c r="G70" s="439" t="s">
        <v>507</v>
      </c>
      <c r="H70" s="29" t="s">
        <v>14</v>
      </c>
      <c r="I70" s="573" t="s">
        <v>526</v>
      </c>
      <c r="J70" s="47" t="s">
        <v>92</v>
      </c>
      <c r="K70" s="27" t="s">
        <v>527</v>
      </c>
      <c r="L70" s="27" t="s">
        <v>58</v>
      </c>
      <c r="M70" s="47" t="s">
        <v>528</v>
      </c>
      <c r="N70" s="30" t="s">
        <v>23</v>
      </c>
      <c r="O70" s="30" t="s">
        <v>529</v>
      </c>
      <c r="P70" s="30"/>
      <c r="Q70" s="27"/>
      <c r="R70" s="27"/>
      <c r="S70" s="24"/>
      <c r="T70" s="24"/>
      <c r="U70" s="30"/>
      <c r="V70" s="30"/>
      <c r="W70" s="30"/>
      <c r="X70" s="30"/>
      <c r="Y70" s="23"/>
      <c r="Z70" s="24"/>
      <c r="AA70" s="30"/>
      <c r="AB70" s="30"/>
      <c r="AC70" s="30"/>
      <c r="AD70" s="28" t="s">
        <v>537</v>
      </c>
      <c r="AE70" s="28" t="s">
        <v>538</v>
      </c>
      <c r="AF70" s="28" t="s">
        <v>539</v>
      </c>
      <c r="AG70" s="28" t="s">
        <v>540</v>
      </c>
      <c r="AH70" s="30"/>
      <c r="AI70" s="24"/>
      <c r="AJ70" s="30"/>
      <c r="AK70" s="24"/>
      <c r="AL70" s="30"/>
      <c r="AM70" s="24"/>
      <c r="AN70" s="30"/>
      <c r="AO70" s="24"/>
      <c r="AP70" s="107"/>
      <c r="AQ70" s="67"/>
      <c r="AR70" s="69"/>
      <c r="AS70" s="69"/>
      <c r="AT70" s="67" t="s">
        <v>27</v>
      </c>
      <c r="AU70" s="69" t="s">
        <v>541</v>
      </c>
      <c r="AV70" s="67"/>
      <c r="AW70" s="67"/>
      <c r="AX70" s="67"/>
      <c r="AY70" s="67"/>
      <c r="AZ70" s="67"/>
      <c r="BA70" s="67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</row>
    <row r="71" spans="1:67" x14ac:dyDescent="0.2">
      <c r="A71" s="52" t="s">
        <v>524</v>
      </c>
      <c r="B71" s="51" t="s">
        <v>13</v>
      </c>
      <c r="C71" s="30" t="s">
        <v>14</v>
      </c>
      <c r="D71" s="114">
        <v>70</v>
      </c>
      <c r="E71" s="439" t="s">
        <v>88</v>
      </c>
      <c r="F71" s="439" t="s">
        <v>531</v>
      </c>
      <c r="G71" s="439" t="s">
        <v>532</v>
      </c>
      <c r="H71" s="29" t="s">
        <v>14</v>
      </c>
      <c r="I71" s="573" t="s">
        <v>533</v>
      </c>
      <c r="J71" s="47" t="s">
        <v>92</v>
      </c>
      <c r="K71" s="27" t="s">
        <v>534</v>
      </c>
      <c r="L71" s="27" t="s">
        <v>21</v>
      </c>
      <c r="M71" s="47" t="s">
        <v>535</v>
      </c>
      <c r="N71" s="27" t="s">
        <v>23</v>
      </c>
      <c r="O71" s="30" t="s">
        <v>536</v>
      </c>
      <c r="P71" s="30"/>
      <c r="Q71" s="27"/>
      <c r="R71" s="27"/>
      <c r="S71" s="30"/>
      <c r="T71" s="24"/>
      <c r="U71" s="30"/>
      <c r="V71" s="30"/>
      <c r="W71" s="30"/>
      <c r="X71" s="51"/>
      <c r="Y71" s="23"/>
      <c r="Z71" s="30"/>
      <c r="AA71" s="30"/>
      <c r="AB71" s="30"/>
      <c r="AC71" s="30"/>
      <c r="AD71" s="28"/>
      <c r="AE71" s="28"/>
      <c r="AF71" s="28"/>
      <c r="AG71" s="28"/>
      <c r="AH71" s="30"/>
      <c r="AI71" s="24"/>
      <c r="AJ71" s="30"/>
      <c r="AK71" s="24"/>
      <c r="AL71" s="30"/>
      <c r="AM71" s="24"/>
      <c r="AN71" s="30"/>
      <c r="AO71" s="24"/>
      <c r="AP71" s="108"/>
      <c r="AQ71" s="73"/>
      <c r="AR71" s="75"/>
      <c r="AS71" s="75"/>
      <c r="AT71" s="73" t="s">
        <v>27</v>
      </c>
      <c r="AU71" s="75" t="s">
        <v>548</v>
      </c>
      <c r="AV71" s="73"/>
      <c r="AW71" s="73"/>
      <c r="AX71" s="73"/>
      <c r="AY71" s="73"/>
      <c r="AZ71" s="73"/>
      <c r="BA71" s="73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</row>
    <row r="72" spans="1:67" x14ac:dyDescent="0.2">
      <c r="A72" s="52" t="s">
        <v>524</v>
      </c>
      <c r="B72" s="51" t="s">
        <v>13</v>
      </c>
      <c r="C72" s="30" t="s">
        <v>14</v>
      </c>
      <c r="D72" s="114">
        <v>71</v>
      </c>
      <c r="E72" s="438" t="s">
        <v>88</v>
      </c>
      <c r="F72" s="441" t="s">
        <v>542</v>
      </c>
      <c r="G72" s="440" t="s">
        <v>543</v>
      </c>
      <c r="H72" s="29" t="s">
        <v>14</v>
      </c>
      <c r="I72" s="573" t="s">
        <v>544</v>
      </c>
      <c r="J72" s="47" t="s">
        <v>92</v>
      </c>
      <c r="K72" s="27" t="s">
        <v>545</v>
      </c>
      <c r="L72" s="27" t="s">
        <v>21</v>
      </c>
      <c r="M72" s="47" t="s">
        <v>546</v>
      </c>
      <c r="N72" s="27" t="s">
        <v>23</v>
      </c>
      <c r="O72" s="51" t="s">
        <v>547</v>
      </c>
      <c r="P72" s="51"/>
      <c r="Q72" s="27"/>
      <c r="R72" s="27"/>
      <c r="S72" s="30"/>
      <c r="T72" s="24"/>
      <c r="U72" s="30"/>
      <c r="V72" s="30"/>
      <c r="W72" s="30"/>
      <c r="X72" s="30"/>
      <c r="Y72" s="23"/>
      <c r="Z72" s="30"/>
      <c r="AA72" s="30"/>
      <c r="AB72" s="30"/>
      <c r="AC72" s="30"/>
      <c r="AD72" s="28" t="s">
        <v>537</v>
      </c>
      <c r="AE72" s="28" t="s">
        <v>555</v>
      </c>
      <c r="AF72" s="28" t="s">
        <v>539</v>
      </c>
      <c r="AG72" s="28" t="s">
        <v>556</v>
      </c>
      <c r="AH72" s="30"/>
      <c r="AI72" s="30"/>
      <c r="AJ72" s="30"/>
      <c r="AK72" s="30"/>
      <c r="AL72" s="30"/>
      <c r="AM72" s="30"/>
      <c r="AN72" s="30"/>
      <c r="AO72" s="30"/>
      <c r="AP72" s="31"/>
      <c r="AQ72" s="32"/>
      <c r="AR72" s="33"/>
      <c r="AS72" s="33"/>
      <c r="AT72" s="32" t="s">
        <v>27</v>
      </c>
      <c r="AU72" s="33" t="s">
        <v>557</v>
      </c>
      <c r="AV72" s="32"/>
      <c r="AW72" s="32"/>
      <c r="AX72" s="32"/>
      <c r="AY72" s="32"/>
      <c r="AZ72" s="32"/>
      <c r="BA72" s="32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</row>
    <row r="73" spans="1:67" x14ac:dyDescent="0.2">
      <c r="A73" s="90" t="s">
        <v>524</v>
      </c>
      <c r="B73" s="51" t="s">
        <v>2255</v>
      </c>
      <c r="C73" s="30" t="s">
        <v>14</v>
      </c>
      <c r="D73" s="114">
        <v>72</v>
      </c>
      <c r="E73" s="55" t="s">
        <v>549</v>
      </c>
      <c r="F73" s="55" t="s">
        <v>550</v>
      </c>
      <c r="G73" s="55" t="s">
        <v>551</v>
      </c>
      <c r="H73" s="29" t="s">
        <v>14</v>
      </c>
      <c r="I73" s="573" t="s">
        <v>552</v>
      </c>
      <c r="J73" s="47" t="s">
        <v>92</v>
      </c>
      <c r="K73" s="27" t="s">
        <v>553</v>
      </c>
      <c r="L73" s="27" t="s">
        <v>21</v>
      </c>
      <c r="M73" s="47" t="s">
        <v>554</v>
      </c>
      <c r="N73" s="30" t="s">
        <v>23</v>
      </c>
      <c r="O73" s="30">
        <v>74104548</v>
      </c>
      <c r="P73" s="30"/>
      <c r="Q73" s="27"/>
      <c r="R73" s="27"/>
      <c r="S73" s="30"/>
      <c r="T73" s="30"/>
      <c r="U73" s="30"/>
      <c r="V73" s="30"/>
      <c r="W73" s="30"/>
      <c r="X73" s="30"/>
      <c r="Y73" s="23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1"/>
      <c r="AQ73" s="32"/>
      <c r="AR73" s="33"/>
      <c r="AS73" s="33"/>
      <c r="AT73" s="32" t="s">
        <v>27</v>
      </c>
      <c r="AU73" s="126" t="s">
        <v>564</v>
      </c>
      <c r="AV73" s="32"/>
      <c r="AW73" s="32"/>
      <c r="AX73" s="32"/>
      <c r="AY73" s="32"/>
      <c r="AZ73" s="32"/>
      <c r="BA73" s="32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</row>
    <row r="74" spans="1:67" x14ac:dyDescent="0.2">
      <c r="A74" s="83" t="s">
        <v>524</v>
      </c>
      <c r="B74" s="109" t="s">
        <v>13</v>
      </c>
      <c r="C74" s="15" t="s">
        <v>14</v>
      </c>
      <c r="D74" s="121">
        <v>73</v>
      </c>
      <c r="E74" s="454" t="s">
        <v>53</v>
      </c>
      <c r="F74" s="455" t="s">
        <v>558</v>
      </c>
      <c r="G74" s="471" t="s">
        <v>559</v>
      </c>
      <c r="H74" s="528" t="s">
        <v>14</v>
      </c>
      <c r="I74" s="582" t="s">
        <v>560</v>
      </c>
      <c r="J74" s="20" t="s">
        <v>92</v>
      </c>
      <c r="K74" s="14" t="s">
        <v>561</v>
      </c>
      <c r="L74" s="14" t="s">
        <v>58</v>
      </c>
      <c r="M74" s="20" t="s">
        <v>562</v>
      </c>
      <c r="N74" s="15" t="s">
        <v>23</v>
      </c>
      <c r="O74" s="109" t="s">
        <v>563</v>
      </c>
      <c r="P74" s="109"/>
      <c r="Q74" s="14"/>
      <c r="R74" s="14"/>
      <c r="S74" s="15"/>
      <c r="T74" s="111"/>
      <c r="U74" s="15"/>
      <c r="V74" s="15"/>
      <c r="W74" s="15"/>
      <c r="X74" s="15"/>
      <c r="Y74" s="23"/>
      <c r="Z74" s="24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1"/>
      <c r="AQ74" s="32"/>
      <c r="AR74" s="33"/>
      <c r="AS74" s="33"/>
      <c r="AT74" s="32" t="s">
        <v>27</v>
      </c>
      <c r="AU74" s="33" t="s">
        <v>575</v>
      </c>
      <c r="AV74" s="32"/>
      <c r="AW74" s="32"/>
      <c r="AX74" s="32"/>
      <c r="AY74" s="32"/>
      <c r="AZ74" s="32"/>
      <c r="BA74" s="32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</row>
    <row r="75" spans="1:67" x14ac:dyDescent="0.2">
      <c r="A75" s="52" t="s">
        <v>524</v>
      </c>
      <c r="B75" s="51" t="s">
        <v>481</v>
      </c>
      <c r="C75" s="30" t="s">
        <v>14</v>
      </c>
      <c r="D75" s="106">
        <v>74</v>
      </c>
      <c r="E75" s="120" t="s">
        <v>88</v>
      </c>
      <c r="F75" s="55" t="s">
        <v>473</v>
      </c>
      <c r="G75" s="45" t="s">
        <v>565</v>
      </c>
      <c r="H75" s="29" t="s">
        <v>14</v>
      </c>
      <c r="I75" s="576" t="s">
        <v>566</v>
      </c>
      <c r="J75" s="47" t="s">
        <v>92</v>
      </c>
      <c r="K75" s="27" t="s">
        <v>567</v>
      </c>
      <c r="L75" s="27" t="s">
        <v>21</v>
      </c>
      <c r="M75" s="47" t="s">
        <v>568</v>
      </c>
      <c r="N75" s="30" t="s">
        <v>23</v>
      </c>
      <c r="O75" s="40"/>
      <c r="P75" s="40"/>
      <c r="Q75" s="41"/>
      <c r="R75" s="27"/>
      <c r="S75" s="30"/>
      <c r="T75" s="30"/>
      <c r="U75" s="30"/>
      <c r="V75" s="30"/>
      <c r="W75" s="30"/>
      <c r="X75" s="30"/>
      <c r="Y75" s="23"/>
      <c r="Z75" s="93"/>
      <c r="AA75" s="30"/>
      <c r="AB75" s="30"/>
      <c r="AC75" s="30"/>
      <c r="AD75" s="2"/>
      <c r="AE75" s="28"/>
      <c r="AF75" s="28"/>
      <c r="AG75" s="28"/>
      <c r="AH75" s="30"/>
      <c r="AI75" s="30"/>
      <c r="AJ75" s="30"/>
      <c r="AK75" s="30"/>
      <c r="AL75" s="30"/>
      <c r="AM75" s="30"/>
      <c r="AN75" s="30"/>
      <c r="AO75" s="30"/>
      <c r="AP75" s="31"/>
      <c r="AQ75" s="32"/>
      <c r="AR75" s="33"/>
      <c r="AS75" s="33"/>
      <c r="AT75" s="32" t="s">
        <v>27</v>
      </c>
      <c r="AU75" s="33" t="s">
        <v>585</v>
      </c>
      <c r="AV75" s="32"/>
      <c r="AW75" s="32"/>
      <c r="AX75" s="32"/>
      <c r="AY75" s="32"/>
      <c r="AZ75" s="32"/>
      <c r="BA75" s="32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</row>
    <row r="76" spans="1:67" x14ac:dyDescent="0.2">
      <c r="A76" s="52" t="s">
        <v>432</v>
      </c>
      <c r="B76" s="51" t="s">
        <v>13</v>
      </c>
      <c r="C76" s="30" t="s">
        <v>14</v>
      </c>
      <c r="D76" s="106">
        <v>75</v>
      </c>
      <c r="E76" s="424" t="s">
        <v>15</v>
      </c>
      <c r="F76" s="425" t="s">
        <v>569</v>
      </c>
      <c r="G76" s="426" t="s">
        <v>570</v>
      </c>
      <c r="H76" s="29" t="s">
        <v>14</v>
      </c>
      <c r="I76" s="576" t="s">
        <v>571</v>
      </c>
      <c r="J76" s="47" t="s">
        <v>276</v>
      </c>
      <c r="K76" s="27" t="s">
        <v>1130</v>
      </c>
      <c r="L76" s="27" t="s">
        <v>21</v>
      </c>
      <c r="M76" s="27" t="s">
        <v>573</v>
      </c>
      <c r="N76" s="27" t="s">
        <v>23</v>
      </c>
      <c r="O76" s="30" t="s">
        <v>574</v>
      </c>
      <c r="P76" s="30"/>
      <c r="Q76" s="27"/>
      <c r="R76" s="27"/>
      <c r="S76" s="30"/>
      <c r="T76" s="30"/>
      <c r="U76" s="30"/>
      <c r="V76" s="30"/>
      <c r="W76" s="30"/>
      <c r="X76" s="30"/>
      <c r="Y76" s="23"/>
      <c r="Z76" s="24"/>
      <c r="AA76" s="30"/>
      <c r="AB76" s="30"/>
      <c r="AC76" s="30"/>
      <c r="AD76" s="2"/>
      <c r="AE76" s="28"/>
      <c r="AF76" s="28"/>
      <c r="AG76" s="28"/>
      <c r="AH76" s="30"/>
      <c r="AI76" s="30"/>
      <c r="AJ76" s="30"/>
      <c r="AK76" s="30"/>
      <c r="AL76" s="30"/>
      <c r="AM76" s="30"/>
      <c r="AN76" s="30"/>
      <c r="AO76" s="30"/>
      <c r="AP76" s="31"/>
      <c r="AQ76" s="32"/>
      <c r="AR76" s="33"/>
      <c r="AS76" s="33"/>
      <c r="AT76" s="32" t="s">
        <v>27</v>
      </c>
      <c r="AU76" s="33" t="s">
        <v>594</v>
      </c>
      <c r="AV76" s="32"/>
      <c r="AW76" s="32"/>
      <c r="AX76" s="32"/>
      <c r="AY76" s="32"/>
      <c r="AZ76" s="32"/>
      <c r="BA76" s="32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</row>
    <row r="77" spans="1:67" x14ac:dyDescent="0.2">
      <c r="A77" s="52" t="s">
        <v>576</v>
      </c>
      <c r="B77" s="51" t="s">
        <v>13</v>
      </c>
      <c r="C77" s="30" t="s">
        <v>14</v>
      </c>
      <c r="D77" s="106">
        <v>76</v>
      </c>
      <c r="E77" s="424" t="s">
        <v>577</v>
      </c>
      <c r="F77" s="425" t="s">
        <v>578</v>
      </c>
      <c r="G77" s="426" t="s">
        <v>206</v>
      </c>
      <c r="H77" s="29" t="s">
        <v>14</v>
      </c>
      <c r="I77" s="576" t="s">
        <v>579</v>
      </c>
      <c r="J77" s="47" t="s">
        <v>19</v>
      </c>
      <c r="K77" s="27" t="s">
        <v>580</v>
      </c>
      <c r="L77" s="27" t="s">
        <v>21</v>
      </c>
      <c r="M77" s="27" t="s">
        <v>581</v>
      </c>
      <c r="N77" s="27" t="s">
        <v>23</v>
      </c>
      <c r="O77" s="51" t="s">
        <v>582</v>
      </c>
      <c r="P77" s="51"/>
      <c r="Q77" s="27" t="s">
        <v>583</v>
      </c>
      <c r="R77" s="26" t="s">
        <v>584</v>
      </c>
      <c r="S77" s="30"/>
      <c r="T77" s="30"/>
      <c r="U77" s="30"/>
      <c r="V77" s="30"/>
      <c r="W77" s="30"/>
      <c r="X77" s="30"/>
      <c r="Y77" s="23"/>
      <c r="Z77" s="24"/>
      <c r="AA77" s="30"/>
      <c r="AB77" s="28"/>
      <c r="AC77" s="30"/>
      <c r="AD77" s="2"/>
      <c r="AE77" s="28"/>
      <c r="AF77" s="28"/>
      <c r="AG77" s="28"/>
      <c r="AH77" s="30"/>
      <c r="AI77" s="30"/>
      <c r="AJ77" s="30"/>
      <c r="AK77" s="30"/>
      <c r="AL77" s="30"/>
      <c r="AM77" s="30"/>
      <c r="AN77" s="30"/>
      <c r="AO77" s="30"/>
      <c r="AP77" s="31"/>
      <c r="AQ77" s="32"/>
      <c r="AR77" s="33"/>
      <c r="AS77" s="33"/>
      <c r="AT77" s="32" t="s">
        <v>27</v>
      </c>
      <c r="AU77" s="33" t="s">
        <v>603</v>
      </c>
      <c r="AV77" s="32"/>
      <c r="AW77" s="32"/>
      <c r="AX77" s="32"/>
      <c r="AY77" s="32"/>
      <c r="AZ77" s="32"/>
      <c r="BA77" s="32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</row>
    <row r="78" spans="1:67" x14ac:dyDescent="0.2">
      <c r="A78" s="51" t="s">
        <v>576</v>
      </c>
      <c r="B78" s="51" t="s">
        <v>13</v>
      </c>
      <c r="C78" s="30" t="s">
        <v>14</v>
      </c>
      <c r="D78" s="106">
        <v>77</v>
      </c>
      <c r="E78" s="424" t="s">
        <v>586</v>
      </c>
      <c r="F78" s="425" t="s">
        <v>808</v>
      </c>
      <c r="G78" s="426" t="s">
        <v>2192</v>
      </c>
      <c r="H78" s="29" t="s">
        <v>14</v>
      </c>
      <c r="I78" s="576" t="s">
        <v>589</v>
      </c>
      <c r="J78" s="47" t="s">
        <v>19</v>
      </c>
      <c r="K78" s="27" t="s">
        <v>590</v>
      </c>
      <c r="L78" s="27" t="s">
        <v>21</v>
      </c>
      <c r="M78" s="27" t="s">
        <v>591</v>
      </c>
      <c r="N78" s="27" t="s">
        <v>23</v>
      </c>
      <c r="O78" s="51" t="s">
        <v>592</v>
      </c>
      <c r="P78" s="51"/>
      <c r="Q78" s="27" t="s">
        <v>583</v>
      </c>
      <c r="R78" s="26" t="s">
        <v>593</v>
      </c>
      <c r="S78" s="30"/>
      <c r="T78" s="30"/>
      <c r="U78" s="30"/>
      <c r="V78" s="30"/>
      <c r="W78" s="30"/>
      <c r="X78" s="30"/>
      <c r="Y78" s="23"/>
      <c r="Z78" s="24"/>
      <c r="AA78" s="30"/>
      <c r="AB78" s="28"/>
      <c r="AC78" s="30"/>
      <c r="AD78" s="2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1"/>
      <c r="AQ78" s="32"/>
      <c r="AR78" s="33"/>
      <c r="AS78" s="33"/>
      <c r="AT78" s="32" t="s">
        <v>27</v>
      </c>
      <c r="AU78" s="33" t="s">
        <v>610</v>
      </c>
      <c r="AV78" s="32"/>
      <c r="AW78" s="32"/>
      <c r="AX78" s="32"/>
      <c r="AY78" s="32"/>
      <c r="AZ78" s="32"/>
      <c r="BA78" s="32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</row>
    <row r="79" spans="1:67" x14ac:dyDescent="0.2">
      <c r="A79" s="51" t="s">
        <v>576</v>
      </c>
      <c r="B79" s="51" t="s">
        <v>13</v>
      </c>
      <c r="C79" s="30" t="s">
        <v>14</v>
      </c>
      <c r="D79" s="106">
        <v>78</v>
      </c>
      <c r="E79" s="424" t="s">
        <v>595</v>
      </c>
      <c r="F79" s="425" t="s">
        <v>596</v>
      </c>
      <c r="G79" s="426" t="s">
        <v>597</v>
      </c>
      <c r="H79" s="29" t="s">
        <v>14</v>
      </c>
      <c r="I79" s="576" t="s">
        <v>598</v>
      </c>
      <c r="J79" s="47" t="s">
        <v>92</v>
      </c>
      <c r="K79" s="27" t="s">
        <v>599</v>
      </c>
      <c r="L79" s="27" t="s">
        <v>21</v>
      </c>
      <c r="M79" s="47" t="s">
        <v>600</v>
      </c>
      <c r="N79" s="27" t="s">
        <v>23</v>
      </c>
      <c r="O79" s="51" t="s">
        <v>601</v>
      </c>
      <c r="P79" s="51"/>
      <c r="Q79" s="27" t="s">
        <v>583</v>
      </c>
      <c r="R79" s="26" t="s">
        <v>602</v>
      </c>
      <c r="S79" s="30"/>
      <c r="T79" s="24"/>
      <c r="U79" s="30"/>
      <c r="V79" s="30"/>
      <c r="W79" s="30"/>
      <c r="X79" s="30"/>
      <c r="Y79" s="23"/>
      <c r="Z79" s="24"/>
      <c r="AA79" s="30"/>
      <c r="AB79" s="28"/>
      <c r="AC79" s="51"/>
      <c r="AD79" s="2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130"/>
      <c r="AQ79" s="131"/>
      <c r="AR79" s="69"/>
      <c r="AS79" s="69"/>
      <c r="AT79" s="67" t="s">
        <v>27</v>
      </c>
      <c r="AU79" s="131" t="s">
        <v>619</v>
      </c>
      <c r="AV79" s="131"/>
      <c r="AW79" s="131"/>
      <c r="AX79" s="131"/>
      <c r="AY79" s="131"/>
      <c r="AZ79" s="131"/>
      <c r="BA79" s="131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</row>
    <row r="80" spans="1:67" x14ac:dyDescent="0.2">
      <c r="A80" s="132" t="s">
        <v>576</v>
      </c>
      <c r="B80" s="132" t="s">
        <v>13</v>
      </c>
      <c r="C80" s="133" t="s">
        <v>14</v>
      </c>
      <c r="D80" s="134">
        <v>79</v>
      </c>
      <c r="E80" s="503" t="s">
        <v>595</v>
      </c>
      <c r="F80" s="506" t="s">
        <v>604</v>
      </c>
      <c r="G80" s="509" t="s">
        <v>605</v>
      </c>
      <c r="H80" s="138" t="s">
        <v>14</v>
      </c>
      <c r="I80" s="583" t="s">
        <v>606</v>
      </c>
      <c r="J80" s="197" t="s">
        <v>19</v>
      </c>
      <c r="K80" s="197">
        <v>525154</v>
      </c>
      <c r="L80" s="60" t="s">
        <v>21</v>
      </c>
      <c r="M80" s="59" t="s">
        <v>607</v>
      </c>
      <c r="N80" s="60" t="s">
        <v>23</v>
      </c>
      <c r="O80" s="132" t="s">
        <v>608</v>
      </c>
      <c r="P80" s="132"/>
      <c r="Q80" s="27" t="s">
        <v>583</v>
      </c>
      <c r="R80" s="48" t="s">
        <v>609</v>
      </c>
      <c r="S80" s="30"/>
      <c r="T80" s="30"/>
      <c r="U80" s="30"/>
      <c r="V80" s="30"/>
      <c r="W80" s="133"/>
      <c r="X80" s="133"/>
      <c r="Y80" s="30"/>
      <c r="Z80" s="24"/>
      <c r="AA80" s="30"/>
      <c r="AB80" s="30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140"/>
      <c r="AQ80" s="113"/>
      <c r="AR80" s="113"/>
      <c r="AS80" s="113"/>
      <c r="AT80" s="73" t="s">
        <v>27</v>
      </c>
      <c r="AU80" s="113" t="s">
        <v>629</v>
      </c>
      <c r="AV80" s="73"/>
      <c r="AW80" s="113"/>
      <c r="AX80" s="73"/>
      <c r="AY80" s="113"/>
      <c r="AZ80" s="73"/>
      <c r="BA80" s="113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</row>
    <row r="81" spans="1:67" x14ac:dyDescent="0.2">
      <c r="A81" s="51" t="s">
        <v>576</v>
      </c>
      <c r="B81" s="51" t="s">
        <v>13</v>
      </c>
      <c r="C81" s="30" t="s">
        <v>14</v>
      </c>
      <c r="D81" s="106">
        <v>80</v>
      </c>
      <c r="E81" s="438" t="s">
        <v>611</v>
      </c>
      <c r="F81" s="441" t="s">
        <v>612</v>
      </c>
      <c r="G81" s="440" t="s">
        <v>613</v>
      </c>
      <c r="H81" s="29" t="s">
        <v>14</v>
      </c>
      <c r="I81" s="576" t="s">
        <v>614</v>
      </c>
      <c r="J81" s="47" t="s">
        <v>92</v>
      </c>
      <c r="K81" s="27" t="s">
        <v>615</v>
      </c>
      <c r="L81" s="27" t="s">
        <v>21</v>
      </c>
      <c r="M81" s="47" t="s">
        <v>616</v>
      </c>
      <c r="N81" s="27" t="s">
        <v>23</v>
      </c>
      <c r="O81" s="51" t="s">
        <v>617</v>
      </c>
      <c r="P81" s="51"/>
      <c r="Q81" s="27" t="s">
        <v>583</v>
      </c>
      <c r="R81" s="48" t="s">
        <v>618</v>
      </c>
      <c r="S81" s="51"/>
      <c r="T81" s="51"/>
      <c r="U81" s="51"/>
      <c r="V81" s="51"/>
      <c r="W81" s="30"/>
      <c r="X81" s="30"/>
      <c r="Y81" s="23"/>
      <c r="Z81" s="24"/>
      <c r="AA81" s="30"/>
      <c r="AB81" s="51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1"/>
      <c r="AQ81" s="32"/>
      <c r="AR81" s="49"/>
      <c r="AS81" s="49"/>
      <c r="AT81" s="32" t="s">
        <v>27</v>
      </c>
      <c r="AU81" s="49" t="s">
        <v>636</v>
      </c>
      <c r="AV81" s="49"/>
      <c r="AW81" s="49"/>
      <c r="AX81" s="49"/>
      <c r="AY81" s="49"/>
      <c r="AZ81" s="141"/>
      <c r="BA81" s="49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</row>
    <row r="82" spans="1:67" x14ac:dyDescent="0.2">
      <c r="A82" s="51" t="s">
        <v>620</v>
      </c>
      <c r="B82" s="51" t="s">
        <v>13</v>
      </c>
      <c r="C82" s="30" t="s">
        <v>14</v>
      </c>
      <c r="D82" s="114">
        <v>81</v>
      </c>
      <c r="E82" s="434" t="s">
        <v>88</v>
      </c>
      <c r="F82" s="435" t="s">
        <v>2209</v>
      </c>
      <c r="G82" s="426" t="s">
        <v>2206</v>
      </c>
      <c r="H82" s="29" t="s">
        <v>14</v>
      </c>
      <c r="I82" s="573" t="s">
        <v>623</v>
      </c>
      <c r="J82" s="47" t="s">
        <v>92</v>
      </c>
      <c r="K82" s="47" t="s">
        <v>624</v>
      </c>
      <c r="L82" s="27" t="s">
        <v>21</v>
      </c>
      <c r="M82" s="47" t="s">
        <v>625</v>
      </c>
      <c r="N82" s="27" t="s">
        <v>23</v>
      </c>
      <c r="O82" s="40">
        <v>74106804</v>
      </c>
      <c r="P82" s="517" t="s">
        <v>2233</v>
      </c>
      <c r="Q82" s="27" t="s">
        <v>358</v>
      </c>
      <c r="R82" s="27" t="s">
        <v>626</v>
      </c>
      <c r="S82" s="30" t="s">
        <v>360</v>
      </c>
      <c r="T82" s="30" t="s">
        <v>627</v>
      </c>
      <c r="U82" s="30" t="s">
        <v>21</v>
      </c>
      <c r="V82" s="30" t="s">
        <v>628</v>
      </c>
      <c r="W82" s="30"/>
      <c r="X82" s="30"/>
      <c r="Y82" s="23"/>
      <c r="Z82" s="24"/>
      <c r="AA82" s="30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91"/>
      <c r="AQ82" s="49"/>
      <c r="AR82" s="49"/>
      <c r="AS82" s="49"/>
      <c r="AT82" s="32" t="s">
        <v>27</v>
      </c>
      <c r="AU82" s="49" t="s">
        <v>642</v>
      </c>
      <c r="AV82" s="49"/>
      <c r="AW82" s="49"/>
      <c r="AX82" s="49"/>
      <c r="AY82" s="49"/>
      <c r="AZ82" s="32"/>
      <c r="BA82" s="32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</row>
    <row r="83" spans="1:67" x14ac:dyDescent="0.2">
      <c r="A83" s="51" t="s">
        <v>620</v>
      </c>
      <c r="B83" s="51" t="s">
        <v>13</v>
      </c>
      <c r="C83" s="30" t="s">
        <v>14</v>
      </c>
      <c r="D83" s="114">
        <v>82</v>
      </c>
      <c r="E83" s="438" t="s">
        <v>15</v>
      </c>
      <c r="F83" s="441" t="s">
        <v>2231</v>
      </c>
      <c r="G83" s="440" t="s">
        <v>2232</v>
      </c>
      <c r="H83" s="29" t="s">
        <v>14</v>
      </c>
      <c r="I83" s="573" t="s">
        <v>631</v>
      </c>
      <c r="J83" s="47" t="s">
        <v>92</v>
      </c>
      <c r="K83" s="47" t="s">
        <v>632</v>
      </c>
      <c r="L83" s="27" t="s">
        <v>21</v>
      </c>
      <c r="M83" s="47" t="s">
        <v>633</v>
      </c>
      <c r="N83" s="27" t="s">
        <v>23</v>
      </c>
      <c r="O83" s="51" t="s">
        <v>634</v>
      </c>
      <c r="P83" s="51"/>
      <c r="Q83" s="27" t="s">
        <v>583</v>
      </c>
      <c r="R83" s="48" t="s">
        <v>635</v>
      </c>
      <c r="S83" s="30"/>
      <c r="T83" s="30"/>
      <c r="U83" s="30"/>
      <c r="V83" s="30"/>
      <c r="W83" s="30"/>
      <c r="X83" s="30"/>
      <c r="Y83" s="23"/>
      <c r="Z83" s="24"/>
      <c r="AA83" s="30"/>
      <c r="AB83" s="30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91"/>
      <c r="AQ83" s="49"/>
      <c r="AR83" s="49"/>
      <c r="AS83" s="49"/>
      <c r="AT83" s="32" t="s">
        <v>27</v>
      </c>
      <c r="AU83" s="49" t="s">
        <v>650</v>
      </c>
      <c r="AV83" s="32"/>
      <c r="AW83" s="49"/>
      <c r="AX83" s="32"/>
      <c r="AY83" s="49"/>
      <c r="AZ83" s="32"/>
      <c r="BA83" s="49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</row>
    <row r="84" spans="1:67" x14ac:dyDescent="0.2">
      <c r="A84" s="51" t="s">
        <v>480</v>
      </c>
      <c r="B84" s="51" t="s">
        <v>2255</v>
      </c>
      <c r="C84" s="30" t="s">
        <v>14</v>
      </c>
      <c r="D84" s="114">
        <v>83</v>
      </c>
      <c r="E84" s="92" t="s">
        <v>445</v>
      </c>
      <c r="F84" s="88" t="s">
        <v>637</v>
      </c>
      <c r="G84" s="45" t="s">
        <v>98</v>
      </c>
      <c r="H84" s="29" t="s">
        <v>14</v>
      </c>
      <c r="I84" s="573" t="s">
        <v>638</v>
      </c>
      <c r="J84" s="47" t="s">
        <v>92</v>
      </c>
      <c r="K84" s="47" t="s">
        <v>639</v>
      </c>
      <c r="L84" s="27" t="s">
        <v>21</v>
      </c>
      <c r="M84" s="47" t="s">
        <v>640</v>
      </c>
      <c r="N84" s="30" t="s">
        <v>23</v>
      </c>
      <c r="O84" s="30" t="s">
        <v>641</v>
      </c>
      <c r="P84" s="30" t="s">
        <v>2253</v>
      </c>
      <c r="Q84" s="47"/>
      <c r="R84" s="47"/>
      <c r="S84" s="51"/>
      <c r="T84" s="51"/>
      <c r="U84" s="51"/>
      <c r="V84" s="51"/>
      <c r="W84" s="30"/>
      <c r="X84" s="30"/>
      <c r="Y84" s="23"/>
      <c r="Z84" s="24"/>
      <c r="AA84" s="30"/>
      <c r="AB84" s="51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1"/>
      <c r="AQ84" s="32"/>
      <c r="AR84" s="49"/>
      <c r="AS84" s="49"/>
      <c r="AT84" s="32" t="s">
        <v>27</v>
      </c>
      <c r="AU84" s="49" t="s">
        <v>656</v>
      </c>
      <c r="AV84" s="32"/>
      <c r="AW84" s="49"/>
      <c r="AX84" s="32"/>
      <c r="AY84" s="49"/>
      <c r="AZ84" s="32"/>
      <c r="BA84" s="49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</row>
    <row r="85" spans="1:67" x14ac:dyDescent="0.2">
      <c r="A85" s="51" t="s">
        <v>620</v>
      </c>
      <c r="B85" s="51" t="s">
        <v>2255</v>
      </c>
      <c r="C85" s="30" t="s">
        <v>14</v>
      </c>
      <c r="D85" s="114">
        <v>84</v>
      </c>
      <c r="E85" s="92" t="s">
        <v>34</v>
      </c>
      <c r="F85" s="88" t="s">
        <v>643</v>
      </c>
      <c r="G85" s="45" t="s">
        <v>551</v>
      </c>
      <c r="H85" s="29" t="s">
        <v>14</v>
      </c>
      <c r="I85" s="573" t="s">
        <v>644</v>
      </c>
      <c r="J85" s="47" t="s">
        <v>92</v>
      </c>
      <c r="K85" s="47" t="s">
        <v>645</v>
      </c>
      <c r="L85" s="27" t="s">
        <v>21</v>
      </c>
      <c r="M85" s="47" t="s">
        <v>646</v>
      </c>
      <c r="N85" s="30" t="s">
        <v>23</v>
      </c>
      <c r="O85" s="40">
        <v>54621407</v>
      </c>
      <c r="P85" s="40" t="s">
        <v>2242</v>
      </c>
      <c r="Q85" s="27" t="s">
        <v>358</v>
      </c>
      <c r="R85" s="47" t="s">
        <v>647</v>
      </c>
      <c r="S85" s="30" t="s">
        <v>360</v>
      </c>
      <c r="T85" s="30" t="s">
        <v>648</v>
      </c>
      <c r="U85" s="30" t="s">
        <v>58</v>
      </c>
      <c r="V85" s="25" t="s">
        <v>649</v>
      </c>
      <c r="W85" s="30"/>
      <c r="X85" s="30"/>
      <c r="Y85" s="23"/>
      <c r="Z85" s="24"/>
      <c r="AA85" s="30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91"/>
      <c r="AQ85" s="49"/>
      <c r="AR85" s="49"/>
      <c r="AS85" s="49"/>
      <c r="AT85" s="32" t="s">
        <v>27</v>
      </c>
      <c r="AU85" s="49" t="s">
        <v>661</v>
      </c>
      <c r="AV85" s="49"/>
      <c r="AW85" s="49"/>
      <c r="AX85" s="49"/>
      <c r="AY85" s="49"/>
      <c r="AZ85" s="49"/>
      <c r="BA85" s="49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</row>
    <row r="86" spans="1:67" x14ac:dyDescent="0.2">
      <c r="A86" s="109" t="s">
        <v>620</v>
      </c>
      <c r="B86" s="109" t="s">
        <v>2255</v>
      </c>
      <c r="C86" s="15" t="s">
        <v>14</v>
      </c>
      <c r="D86" s="121">
        <v>85</v>
      </c>
      <c r="E86" s="17" t="s">
        <v>53</v>
      </c>
      <c r="F86" s="18" t="s">
        <v>2267</v>
      </c>
      <c r="G86" s="17" t="s">
        <v>17</v>
      </c>
      <c r="H86" s="19" t="s">
        <v>14</v>
      </c>
      <c r="I86" s="582" t="s">
        <v>653</v>
      </c>
      <c r="J86" s="20" t="s">
        <v>276</v>
      </c>
      <c r="K86" s="20" t="s">
        <v>654</v>
      </c>
      <c r="L86" s="14" t="s">
        <v>21</v>
      </c>
      <c r="M86" s="20" t="s">
        <v>655</v>
      </c>
      <c r="N86" s="14" t="s">
        <v>23</v>
      </c>
      <c r="O86" s="15">
        <v>6541048</v>
      </c>
      <c r="P86" s="15" t="s">
        <v>2268</v>
      </c>
      <c r="Q86" s="14"/>
      <c r="R86" s="14"/>
      <c r="S86" s="15"/>
      <c r="T86" s="15"/>
      <c r="U86" s="15"/>
      <c r="V86" s="15"/>
      <c r="W86" s="15"/>
      <c r="X86" s="15"/>
      <c r="Y86" s="23"/>
      <c r="Z86" s="24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1"/>
      <c r="AQ86" s="32"/>
      <c r="AR86" s="49"/>
      <c r="AS86" s="49"/>
      <c r="AT86" s="32" t="s">
        <v>27</v>
      </c>
      <c r="AU86" s="49" t="s">
        <v>667</v>
      </c>
      <c r="AV86" s="49"/>
      <c r="AW86" s="49"/>
      <c r="AX86" s="49"/>
      <c r="AY86" s="49"/>
      <c r="AZ86" s="49"/>
      <c r="BA86" s="49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</row>
    <row r="87" spans="1:67" x14ac:dyDescent="0.2">
      <c r="A87" s="51" t="s">
        <v>620</v>
      </c>
      <c r="B87" s="51" t="s">
        <v>2255</v>
      </c>
      <c r="C87" s="30" t="s">
        <v>14</v>
      </c>
      <c r="D87" s="114">
        <v>86</v>
      </c>
      <c r="E87" s="92" t="s">
        <v>53</v>
      </c>
      <c r="F87" s="88" t="s">
        <v>657</v>
      </c>
      <c r="G87" s="88" t="s">
        <v>467</v>
      </c>
      <c r="H87" s="29" t="s">
        <v>14</v>
      </c>
      <c r="I87" s="573" t="s">
        <v>658</v>
      </c>
      <c r="J87" s="47" t="s">
        <v>92</v>
      </c>
      <c r="K87" s="27" t="s">
        <v>659</v>
      </c>
      <c r="L87" s="27" t="s">
        <v>21</v>
      </c>
      <c r="M87" s="26" t="s">
        <v>660</v>
      </c>
      <c r="N87" s="27" t="s">
        <v>23</v>
      </c>
      <c r="O87" s="51"/>
      <c r="P87" s="51"/>
      <c r="Q87" s="47"/>
      <c r="R87" s="47"/>
      <c r="S87" s="51"/>
      <c r="T87" s="51"/>
      <c r="U87" s="51"/>
      <c r="V87" s="51"/>
      <c r="W87" s="142"/>
      <c r="X87" s="24"/>
      <c r="Y87" s="23"/>
      <c r="Z87" s="24"/>
      <c r="AA87" s="30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91"/>
      <c r="AQ87" s="49"/>
      <c r="AR87" s="49"/>
      <c r="AS87" s="49"/>
      <c r="AT87" s="32" t="s">
        <v>27</v>
      </c>
      <c r="AU87" s="49" t="s">
        <v>674</v>
      </c>
      <c r="AV87" s="32"/>
      <c r="AW87" s="49"/>
      <c r="AX87" s="32"/>
      <c r="AY87" s="49"/>
      <c r="AZ87" s="32"/>
      <c r="BA87" s="49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</row>
    <row r="88" spans="1:67" x14ac:dyDescent="0.2">
      <c r="A88" s="51" t="s">
        <v>620</v>
      </c>
      <c r="B88" s="51" t="s">
        <v>13</v>
      </c>
      <c r="C88" s="30" t="s">
        <v>14</v>
      </c>
      <c r="D88" s="114">
        <v>87</v>
      </c>
      <c r="E88" s="438" t="s">
        <v>44</v>
      </c>
      <c r="F88" s="438" t="s">
        <v>662</v>
      </c>
      <c r="G88" s="438" t="s">
        <v>281</v>
      </c>
      <c r="H88" s="29" t="s">
        <v>14</v>
      </c>
      <c r="I88" s="573" t="s">
        <v>663</v>
      </c>
      <c r="J88" s="47" t="s">
        <v>92</v>
      </c>
      <c r="K88" s="27" t="s">
        <v>664</v>
      </c>
      <c r="L88" s="27" t="s">
        <v>21</v>
      </c>
      <c r="M88" s="26" t="s">
        <v>665</v>
      </c>
      <c r="N88" s="27" t="s">
        <v>23</v>
      </c>
      <c r="O88" s="30" t="s">
        <v>666</v>
      </c>
      <c r="P88" s="30"/>
      <c r="Q88" s="27"/>
      <c r="R88" s="27"/>
      <c r="S88" s="30"/>
      <c r="T88" s="30"/>
      <c r="U88" s="30"/>
      <c r="V88" s="30"/>
      <c r="W88" s="142"/>
      <c r="X88" s="24"/>
      <c r="Y88" s="23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1"/>
      <c r="AQ88" s="32"/>
      <c r="AR88" s="49"/>
      <c r="AS88" s="49"/>
      <c r="AT88" s="32" t="s">
        <v>27</v>
      </c>
      <c r="AU88" s="49" t="s">
        <v>680</v>
      </c>
      <c r="AV88" s="49"/>
      <c r="AW88" s="49"/>
      <c r="AX88" s="49"/>
      <c r="AY88" s="49"/>
      <c r="AZ88" s="49"/>
      <c r="BA88" s="49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</row>
    <row r="89" spans="1:67" x14ac:dyDescent="0.2">
      <c r="A89" s="47" t="s">
        <v>620</v>
      </c>
      <c r="B89" s="51" t="s">
        <v>2255</v>
      </c>
      <c r="C89" s="27" t="s">
        <v>14</v>
      </c>
      <c r="D89" s="53">
        <v>88</v>
      </c>
      <c r="E89" s="45" t="s">
        <v>53</v>
      </c>
      <c r="F89" s="50" t="s">
        <v>668</v>
      </c>
      <c r="G89" s="88" t="s">
        <v>669</v>
      </c>
      <c r="H89" s="29" t="s">
        <v>14</v>
      </c>
      <c r="I89" s="573" t="s">
        <v>670</v>
      </c>
      <c r="J89" s="47" t="s">
        <v>92</v>
      </c>
      <c r="K89" s="47" t="s">
        <v>671</v>
      </c>
      <c r="L89" s="27" t="s">
        <v>21</v>
      </c>
      <c r="M89" s="47" t="s">
        <v>672</v>
      </c>
      <c r="N89" s="27" t="s">
        <v>23</v>
      </c>
      <c r="O89" s="30" t="s">
        <v>673</v>
      </c>
      <c r="P89" s="30"/>
      <c r="Q89" s="47"/>
      <c r="R89" s="47"/>
      <c r="S89" s="51"/>
      <c r="T89" s="51"/>
      <c r="U89" s="51"/>
      <c r="V89" s="51"/>
      <c r="W89" s="30"/>
      <c r="X89" s="30"/>
      <c r="Y89" s="23"/>
      <c r="Z89" s="24"/>
      <c r="AA89" s="30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130"/>
      <c r="AQ89" s="131"/>
      <c r="AR89" s="131"/>
      <c r="AS89" s="131"/>
      <c r="AT89" s="67" t="s">
        <v>27</v>
      </c>
      <c r="AU89" s="131" t="s">
        <v>684</v>
      </c>
      <c r="AV89" s="67"/>
      <c r="AW89" s="131"/>
      <c r="AX89" s="67"/>
      <c r="AY89" s="131"/>
      <c r="AZ89" s="67"/>
      <c r="BA89" s="131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</row>
    <row r="90" spans="1:67" x14ac:dyDescent="0.2">
      <c r="A90" s="109" t="s">
        <v>620</v>
      </c>
      <c r="B90" s="109" t="s">
        <v>13</v>
      </c>
      <c r="C90" s="15" t="s">
        <v>14</v>
      </c>
      <c r="D90" s="121">
        <v>89</v>
      </c>
      <c r="E90" s="454" t="s">
        <v>549</v>
      </c>
      <c r="F90" s="454" t="s">
        <v>675</v>
      </c>
      <c r="G90" s="454" t="s">
        <v>676</v>
      </c>
      <c r="H90" s="19" t="s">
        <v>14</v>
      </c>
      <c r="I90" s="582" t="s">
        <v>677</v>
      </c>
      <c r="J90" s="20" t="s">
        <v>92</v>
      </c>
      <c r="K90" s="20" t="s">
        <v>678</v>
      </c>
      <c r="L90" s="14" t="s">
        <v>58</v>
      </c>
      <c r="M90" s="20" t="s">
        <v>679</v>
      </c>
      <c r="N90" s="15" t="s">
        <v>23</v>
      </c>
      <c r="O90" s="86">
        <v>74106838</v>
      </c>
      <c r="P90" s="86"/>
      <c r="Q90" s="14"/>
      <c r="R90" s="14"/>
      <c r="S90" s="15"/>
      <c r="T90" s="15"/>
      <c r="U90" s="15"/>
      <c r="V90" s="15"/>
      <c r="W90" s="15"/>
      <c r="X90" s="15"/>
      <c r="Y90" s="23"/>
      <c r="Z90" s="24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108"/>
      <c r="AQ90" s="73"/>
      <c r="AR90" s="113"/>
      <c r="AS90" s="113"/>
      <c r="AT90" s="73" t="s">
        <v>27</v>
      </c>
      <c r="AU90" s="113" t="s">
        <v>690</v>
      </c>
      <c r="AV90" s="73"/>
      <c r="AW90" s="113"/>
      <c r="AX90" s="73"/>
      <c r="AY90" s="113"/>
      <c r="AZ90" s="73"/>
      <c r="BA90" s="113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</row>
    <row r="91" spans="1:67" x14ac:dyDescent="0.2">
      <c r="A91" s="47" t="s">
        <v>620</v>
      </c>
      <c r="B91" s="51" t="s">
        <v>2255</v>
      </c>
      <c r="C91" s="30" t="s">
        <v>14</v>
      </c>
      <c r="D91" s="106">
        <v>90</v>
      </c>
      <c r="E91" s="483" t="s">
        <v>15</v>
      </c>
      <c r="F91" s="484" t="s">
        <v>748</v>
      </c>
      <c r="G91" s="485" t="s">
        <v>2257</v>
      </c>
      <c r="H91" s="29" t="s">
        <v>14</v>
      </c>
      <c r="I91" s="576" t="s">
        <v>681</v>
      </c>
      <c r="J91" s="47" t="s">
        <v>92</v>
      </c>
      <c r="K91" s="47" t="s">
        <v>682</v>
      </c>
      <c r="L91" s="27" t="s">
        <v>21</v>
      </c>
      <c r="M91" s="47" t="s">
        <v>683</v>
      </c>
      <c r="N91" s="30" t="s">
        <v>23</v>
      </c>
      <c r="O91" s="39"/>
      <c r="P91" s="39"/>
      <c r="Q91" s="47"/>
      <c r="R91" s="47"/>
      <c r="S91" s="51"/>
      <c r="T91" s="51"/>
      <c r="U91" s="51"/>
      <c r="V91" s="51"/>
      <c r="W91" s="30"/>
      <c r="X91" s="30"/>
      <c r="Y91" s="23"/>
      <c r="Z91" s="24"/>
      <c r="AA91" s="30"/>
      <c r="AB91" s="51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1"/>
      <c r="AQ91" s="32"/>
      <c r="AR91" s="33"/>
      <c r="AS91" s="33"/>
      <c r="AT91" s="32" t="s">
        <v>27</v>
      </c>
      <c r="AU91" s="33" t="s">
        <v>696</v>
      </c>
      <c r="AV91" s="49"/>
      <c r="AW91" s="33"/>
      <c r="AX91" s="49"/>
      <c r="AY91" s="33"/>
      <c r="AZ91" s="49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</row>
    <row r="92" spans="1:67" x14ac:dyDescent="0.2">
      <c r="A92" s="51" t="s">
        <v>620</v>
      </c>
      <c r="B92" s="51" t="s">
        <v>13</v>
      </c>
      <c r="C92" s="30" t="s">
        <v>14</v>
      </c>
      <c r="D92" s="114">
        <v>91</v>
      </c>
      <c r="E92" s="450" t="s">
        <v>549</v>
      </c>
      <c r="F92" s="452" t="s">
        <v>685</v>
      </c>
      <c r="G92" s="441" t="s">
        <v>206</v>
      </c>
      <c r="H92" s="29" t="s">
        <v>14</v>
      </c>
      <c r="I92" s="573" t="s">
        <v>686</v>
      </c>
      <c r="J92" s="47" t="s">
        <v>92</v>
      </c>
      <c r="K92" s="47" t="s">
        <v>687</v>
      </c>
      <c r="L92" s="27" t="s">
        <v>21</v>
      </c>
      <c r="M92" s="47" t="s">
        <v>688</v>
      </c>
      <c r="N92" s="27" t="s">
        <v>23</v>
      </c>
      <c r="O92" s="30" t="s">
        <v>689</v>
      </c>
      <c r="P92" s="39"/>
      <c r="Q92" s="27"/>
      <c r="R92" s="27"/>
      <c r="S92" s="105"/>
      <c r="T92" s="30"/>
      <c r="U92" s="51"/>
      <c r="V92" s="30"/>
      <c r="W92" s="30"/>
      <c r="X92" s="30"/>
      <c r="Y92" s="23"/>
      <c r="Z92" s="24"/>
      <c r="AA92" s="30"/>
      <c r="AB92" s="30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91"/>
      <c r="AQ92" s="49"/>
      <c r="AR92" s="33"/>
      <c r="AS92" s="33"/>
      <c r="AT92" s="32" t="s">
        <v>27</v>
      </c>
      <c r="AU92" s="49" t="s">
        <v>704</v>
      </c>
      <c r="AV92" s="49"/>
      <c r="AW92" s="49"/>
      <c r="AX92" s="49"/>
      <c r="AY92" s="49"/>
      <c r="AZ92" s="49"/>
      <c r="BA92" s="49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</row>
    <row r="93" spans="1:67" x14ac:dyDescent="0.2">
      <c r="A93" s="51" t="s">
        <v>620</v>
      </c>
      <c r="B93" s="51" t="s">
        <v>2255</v>
      </c>
      <c r="C93" s="30" t="s">
        <v>14</v>
      </c>
      <c r="D93" s="114">
        <v>92</v>
      </c>
      <c r="E93" s="79" t="s">
        <v>445</v>
      </c>
      <c r="F93" s="79" t="s">
        <v>691</v>
      </c>
      <c r="G93" s="79" t="s">
        <v>692</v>
      </c>
      <c r="H93" s="29" t="s">
        <v>14</v>
      </c>
      <c r="I93" s="573" t="s">
        <v>693</v>
      </c>
      <c r="J93" s="47" t="s">
        <v>92</v>
      </c>
      <c r="K93" s="47" t="s">
        <v>694</v>
      </c>
      <c r="L93" s="27" t="s">
        <v>58</v>
      </c>
      <c r="M93" s="47" t="s">
        <v>695</v>
      </c>
      <c r="N93" s="27" t="s">
        <v>23</v>
      </c>
      <c r="O93" s="40">
        <v>6517920</v>
      </c>
      <c r="P93" s="40"/>
      <c r="Q93" s="27"/>
      <c r="R93" s="27"/>
      <c r="S93" s="30"/>
      <c r="T93" s="30"/>
      <c r="U93" s="30"/>
      <c r="V93" s="30"/>
      <c r="W93" s="30"/>
      <c r="X93" s="30"/>
      <c r="Y93" s="23"/>
      <c r="Z93" s="24"/>
      <c r="AA93" s="30"/>
      <c r="AB93" s="30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91"/>
      <c r="AQ93" s="49"/>
      <c r="AR93" s="33"/>
      <c r="AS93" s="49"/>
      <c r="AT93" s="32" t="s">
        <v>27</v>
      </c>
      <c r="AU93" s="49" t="s">
        <v>710</v>
      </c>
      <c r="AV93" s="49"/>
      <c r="AW93" s="49"/>
      <c r="AX93" s="49"/>
      <c r="AY93" s="49"/>
      <c r="AZ93" s="49"/>
      <c r="BA93" s="49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</row>
    <row r="94" spans="1:67" x14ac:dyDescent="0.2">
      <c r="A94" s="51" t="s">
        <v>697</v>
      </c>
      <c r="B94" s="51" t="s">
        <v>13</v>
      </c>
      <c r="C94" s="30" t="s">
        <v>14</v>
      </c>
      <c r="D94" s="114">
        <v>93</v>
      </c>
      <c r="E94" s="439" t="s">
        <v>445</v>
      </c>
      <c r="F94" s="439" t="s">
        <v>698</v>
      </c>
      <c r="G94" s="439" t="s">
        <v>699</v>
      </c>
      <c r="H94" s="29" t="s">
        <v>14</v>
      </c>
      <c r="I94" s="573" t="s">
        <v>700</v>
      </c>
      <c r="J94" s="47" t="s">
        <v>92</v>
      </c>
      <c r="K94" s="27" t="s">
        <v>701</v>
      </c>
      <c r="L94" s="27" t="s">
        <v>21</v>
      </c>
      <c r="M94" s="47" t="s">
        <v>702</v>
      </c>
      <c r="N94" s="47" t="s">
        <v>23</v>
      </c>
      <c r="O94" s="30" t="s">
        <v>703</v>
      </c>
      <c r="P94" s="30"/>
      <c r="Q94" s="47"/>
      <c r="R94" s="47"/>
      <c r="S94" s="51"/>
      <c r="T94" s="51"/>
      <c r="U94" s="51"/>
      <c r="V94" s="51"/>
      <c r="W94" s="30"/>
      <c r="X94" s="30"/>
      <c r="Y94" s="23"/>
      <c r="Z94" s="24"/>
      <c r="AA94" s="30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91"/>
      <c r="AQ94" s="49"/>
      <c r="AR94" s="33"/>
      <c r="AS94" s="49"/>
      <c r="AT94" s="32" t="s">
        <v>27</v>
      </c>
      <c r="AU94" s="49" t="s">
        <v>717</v>
      </c>
      <c r="AV94" s="32"/>
      <c r="AW94" s="49"/>
      <c r="AX94" s="32"/>
      <c r="AY94" s="49"/>
      <c r="AZ94" s="32"/>
      <c r="BA94" s="49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</row>
    <row r="95" spans="1:67" x14ac:dyDescent="0.2">
      <c r="A95" s="109" t="s">
        <v>697</v>
      </c>
      <c r="B95" s="109" t="s">
        <v>13</v>
      </c>
      <c r="C95" s="15" t="s">
        <v>14</v>
      </c>
      <c r="D95" s="121">
        <v>94</v>
      </c>
      <c r="E95" s="523" t="s">
        <v>287</v>
      </c>
      <c r="F95" s="523" t="s">
        <v>996</v>
      </c>
      <c r="G95" s="523" t="s">
        <v>2206</v>
      </c>
      <c r="H95" s="19" t="s">
        <v>14</v>
      </c>
      <c r="I95" s="582" t="s">
        <v>706</v>
      </c>
      <c r="J95" s="20" t="s">
        <v>92</v>
      </c>
      <c r="K95" s="14" t="s">
        <v>707</v>
      </c>
      <c r="L95" s="14" t="s">
        <v>21</v>
      </c>
      <c r="M95" s="20" t="s">
        <v>708</v>
      </c>
      <c r="N95" s="20" t="s">
        <v>23</v>
      </c>
      <c r="O95" s="15" t="s">
        <v>709</v>
      </c>
      <c r="P95" s="531" t="s">
        <v>2223</v>
      </c>
      <c r="Q95" s="14"/>
      <c r="R95" s="21"/>
      <c r="S95" s="109"/>
      <c r="T95" s="109"/>
      <c r="U95" s="109"/>
      <c r="V95" s="109"/>
      <c r="W95" s="15"/>
      <c r="X95" s="15"/>
      <c r="Y95" s="23"/>
      <c r="Z95" s="24"/>
      <c r="AA95" s="30"/>
      <c r="AB95" s="51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1"/>
      <c r="AQ95" s="32"/>
      <c r="AR95" s="33"/>
      <c r="AS95" s="49"/>
      <c r="AT95" s="32" t="s">
        <v>27</v>
      </c>
      <c r="AU95" s="49" t="s">
        <v>724</v>
      </c>
      <c r="AV95" s="49"/>
      <c r="AW95" s="49"/>
      <c r="AX95" s="49"/>
      <c r="AY95" s="49"/>
      <c r="AZ95" s="49"/>
      <c r="BA95" s="49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</row>
    <row r="96" spans="1:67" x14ac:dyDescent="0.2">
      <c r="A96" s="51" t="s">
        <v>480</v>
      </c>
      <c r="B96" s="51" t="s">
        <v>13</v>
      </c>
      <c r="C96" s="30" t="s">
        <v>14</v>
      </c>
      <c r="D96" s="114">
        <v>95</v>
      </c>
      <c r="E96" s="456" t="s">
        <v>88</v>
      </c>
      <c r="F96" s="457" t="s">
        <v>711</v>
      </c>
      <c r="G96" s="440" t="s">
        <v>712</v>
      </c>
      <c r="H96" s="29" t="s">
        <v>14</v>
      </c>
      <c r="I96" s="573" t="s">
        <v>713</v>
      </c>
      <c r="J96" s="47" t="s">
        <v>92</v>
      </c>
      <c r="K96" s="27" t="s">
        <v>714</v>
      </c>
      <c r="L96" s="27" t="s">
        <v>21</v>
      </c>
      <c r="M96" s="47" t="s">
        <v>715</v>
      </c>
      <c r="N96" s="30" t="s">
        <v>23</v>
      </c>
      <c r="O96" s="51" t="s">
        <v>1127</v>
      </c>
      <c r="P96" s="533"/>
      <c r="Q96" s="487"/>
      <c r="R96" s="535"/>
      <c r="S96" s="537"/>
      <c r="T96" s="3"/>
      <c r="U96" s="2"/>
      <c r="V96" s="51"/>
      <c r="W96" s="30"/>
      <c r="X96" s="30"/>
      <c r="Y96" s="23"/>
      <c r="Z96" s="24"/>
      <c r="AA96" s="30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91"/>
      <c r="AQ96" s="49"/>
      <c r="AR96" s="33"/>
      <c r="AS96" s="49"/>
      <c r="AT96" s="32" t="s">
        <v>27</v>
      </c>
      <c r="AU96" s="49" t="s">
        <v>731</v>
      </c>
      <c r="AV96" s="49"/>
      <c r="AW96" s="49"/>
      <c r="AX96" s="49"/>
      <c r="AY96" s="49"/>
      <c r="AZ96" s="49"/>
      <c r="BA96" s="49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</row>
    <row r="97" spans="1:67" x14ac:dyDescent="0.2">
      <c r="A97" s="51" t="s">
        <v>718</v>
      </c>
      <c r="B97" s="51" t="s">
        <v>13</v>
      </c>
      <c r="C97" s="30" t="s">
        <v>14</v>
      </c>
      <c r="D97" s="114">
        <v>96</v>
      </c>
      <c r="E97" s="456" t="s">
        <v>287</v>
      </c>
      <c r="F97" s="457" t="s">
        <v>2249</v>
      </c>
      <c r="G97" s="440" t="s">
        <v>2250</v>
      </c>
      <c r="H97" s="29" t="s">
        <v>14</v>
      </c>
      <c r="I97" s="573" t="s">
        <v>720</v>
      </c>
      <c r="J97" s="47" t="s">
        <v>92</v>
      </c>
      <c r="K97" s="47" t="s">
        <v>721</v>
      </c>
      <c r="L97" s="27" t="s">
        <v>21</v>
      </c>
      <c r="M97" s="47" t="s">
        <v>722</v>
      </c>
      <c r="N97" s="47" t="s">
        <v>23</v>
      </c>
      <c r="O97" s="30" t="s">
        <v>723</v>
      </c>
      <c r="P97" s="30"/>
      <c r="Q97" s="27"/>
      <c r="R97" s="27"/>
      <c r="S97" s="2"/>
      <c r="T97" s="2"/>
      <c r="U97" s="2"/>
      <c r="V97" s="30"/>
      <c r="W97" s="30"/>
      <c r="X97" s="30"/>
      <c r="Y97" s="23"/>
      <c r="Z97" s="24"/>
      <c r="AA97" s="30"/>
      <c r="AB97" s="30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91"/>
      <c r="AQ97" s="49"/>
      <c r="AR97" s="33"/>
      <c r="AS97" s="49"/>
      <c r="AT97" s="32" t="s">
        <v>27</v>
      </c>
      <c r="AU97" s="49" t="s">
        <v>737</v>
      </c>
      <c r="AV97" s="33"/>
      <c r="AW97" s="33"/>
      <c r="AX97" s="49"/>
      <c r="AY97" s="33"/>
      <c r="AZ97" s="49"/>
      <c r="BA97" s="49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</row>
    <row r="98" spans="1:67" x14ac:dyDescent="0.2">
      <c r="A98" s="51" t="s">
        <v>718</v>
      </c>
      <c r="B98" s="51" t="s">
        <v>13</v>
      </c>
      <c r="C98" s="30" t="s">
        <v>14</v>
      </c>
      <c r="D98" s="114">
        <v>97</v>
      </c>
      <c r="E98" s="438" t="s">
        <v>88</v>
      </c>
      <c r="F98" s="441" t="s">
        <v>2211</v>
      </c>
      <c r="G98" s="440" t="s">
        <v>2206</v>
      </c>
      <c r="H98" s="29" t="s">
        <v>14</v>
      </c>
      <c r="I98" s="573" t="s">
        <v>727</v>
      </c>
      <c r="J98" s="47" t="s">
        <v>92</v>
      </c>
      <c r="K98" s="47" t="s">
        <v>728</v>
      </c>
      <c r="L98" s="27" t="s">
        <v>21</v>
      </c>
      <c r="M98" s="47" t="s">
        <v>729</v>
      </c>
      <c r="N98" s="27" t="s">
        <v>23</v>
      </c>
      <c r="O98" s="30" t="s">
        <v>730</v>
      </c>
      <c r="P98" s="515" t="s">
        <v>2210</v>
      </c>
      <c r="Q98" s="516"/>
      <c r="R98" s="515"/>
      <c r="S98" s="515"/>
      <c r="T98" s="515"/>
      <c r="U98" s="51"/>
      <c r="V98" s="51"/>
      <c r="W98" s="30"/>
      <c r="X98" s="30"/>
      <c r="Y98" s="23"/>
      <c r="Z98" s="24"/>
      <c r="AA98" s="30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91"/>
      <c r="AQ98" s="49"/>
      <c r="AR98" s="33"/>
      <c r="AS98" s="49"/>
      <c r="AT98" s="32" t="s">
        <v>27</v>
      </c>
      <c r="AU98" s="49" t="s">
        <v>743</v>
      </c>
      <c r="AV98" s="32"/>
      <c r="AW98" s="49"/>
      <c r="AX98" s="32"/>
      <c r="AY98" s="49"/>
      <c r="AZ98" s="32"/>
      <c r="BA98" s="49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</row>
    <row r="99" spans="1:67" x14ac:dyDescent="0.2">
      <c r="A99" s="51" t="s">
        <v>718</v>
      </c>
      <c r="B99" s="51" t="s">
        <v>13</v>
      </c>
      <c r="C99" s="30" t="s">
        <v>14</v>
      </c>
      <c r="D99" s="114">
        <v>98</v>
      </c>
      <c r="E99" s="456" t="s">
        <v>88</v>
      </c>
      <c r="F99" s="457" t="s">
        <v>732</v>
      </c>
      <c r="G99" s="440" t="s">
        <v>206</v>
      </c>
      <c r="H99" s="29" t="s">
        <v>14</v>
      </c>
      <c r="I99" s="573" t="s">
        <v>733</v>
      </c>
      <c r="J99" s="47" t="s">
        <v>92</v>
      </c>
      <c r="K99" s="47" t="s">
        <v>734</v>
      </c>
      <c r="L99" s="27" t="s">
        <v>21</v>
      </c>
      <c r="M99" s="47" t="s">
        <v>735</v>
      </c>
      <c r="N99" s="27" t="s">
        <v>23</v>
      </c>
      <c r="O99" s="530" t="s">
        <v>736</v>
      </c>
      <c r="P99" s="495"/>
      <c r="Q99" s="27"/>
      <c r="R99" s="27"/>
      <c r="S99" s="51"/>
      <c r="T99" s="51"/>
      <c r="U99" s="51"/>
      <c r="V99" s="51"/>
      <c r="W99" s="30"/>
      <c r="X99" s="30"/>
      <c r="Y99" s="23"/>
      <c r="Z99" s="24"/>
      <c r="AA99" s="30"/>
      <c r="AB99" s="51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107"/>
      <c r="AQ99" s="67"/>
      <c r="AR99" s="131"/>
      <c r="AS99" s="131"/>
      <c r="AT99" s="67" t="s">
        <v>27</v>
      </c>
      <c r="AU99" s="69" t="s">
        <v>747</v>
      </c>
      <c r="AV99" s="67"/>
      <c r="AW99" s="69"/>
      <c r="AX99" s="67"/>
      <c r="AY99" s="69"/>
      <c r="AZ99" s="67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</row>
    <row r="100" spans="1:67" x14ac:dyDescent="0.2">
      <c r="A100" s="109" t="s">
        <v>718</v>
      </c>
      <c r="B100" s="109" t="s">
        <v>2255</v>
      </c>
      <c r="C100" s="15" t="s">
        <v>14</v>
      </c>
      <c r="D100" s="121">
        <v>99</v>
      </c>
      <c r="E100" s="85" t="s">
        <v>88</v>
      </c>
      <c r="F100" s="43" t="s">
        <v>110</v>
      </c>
      <c r="G100" s="17" t="s">
        <v>738</v>
      </c>
      <c r="H100" s="19" t="s">
        <v>14</v>
      </c>
      <c r="I100" s="582" t="s">
        <v>739</v>
      </c>
      <c r="J100" s="20" t="s">
        <v>92</v>
      </c>
      <c r="K100" s="20" t="s">
        <v>740</v>
      </c>
      <c r="L100" s="14" t="s">
        <v>21</v>
      </c>
      <c r="M100" s="20" t="s">
        <v>741</v>
      </c>
      <c r="N100" s="14" t="s">
        <v>23</v>
      </c>
      <c r="O100" s="15"/>
      <c r="P100" s="443"/>
      <c r="Q100" s="487"/>
      <c r="R100" s="535"/>
      <c r="S100" s="536"/>
      <c r="T100" s="160"/>
      <c r="U100" s="109"/>
      <c r="V100" s="109"/>
      <c r="W100" s="15"/>
      <c r="X100" s="15"/>
      <c r="Y100" s="23"/>
      <c r="Z100" s="24"/>
      <c r="AA100" s="30"/>
      <c r="AB100" s="51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108"/>
      <c r="AQ100" s="73"/>
      <c r="AR100" s="113"/>
      <c r="AS100" s="113"/>
      <c r="AT100" s="73" t="s">
        <v>27</v>
      </c>
      <c r="AU100" s="75" t="s">
        <v>754</v>
      </c>
      <c r="AV100" s="113"/>
      <c r="AW100" s="75"/>
      <c r="AX100" s="113"/>
      <c r="AY100" s="75"/>
      <c r="AZ100" s="113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</row>
    <row r="101" spans="1:67" x14ac:dyDescent="0.2">
      <c r="A101" s="51" t="s">
        <v>718</v>
      </c>
      <c r="B101" s="51" t="s">
        <v>2256</v>
      </c>
      <c r="C101" s="30" t="s">
        <v>14</v>
      </c>
      <c r="D101" s="114">
        <v>100</v>
      </c>
      <c r="E101" s="561"/>
      <c r="F101" s="562" t="s">
        <v>725</v>
      </c>
      <c r="G101" s="563"/>
      <c r="H101" s="29" t="s">
        <v>14</v>
      </c>
      <c r="I101" s="573" t="s">
        <v>744</v>
      </c>
      <c r="J101" s="47" t="s">
        <v>92</v>
      </c>
      <c r="K101" s="27" t="s">
        <v>745</v>
      </c>
      <c r="L101" s="27" t="s">
        <v>21</v>
      </c>
      <c r="M101" s="47" t="s">
        <v>746</v>
      </c>
      <c r="N101" s="27" t="s">
        <v>23</v>
      </c>
      <c r="O101" s="39" t="s">
        <v>673</v>
      </c>
      <c r="P101" s="39" t="s">
        <v>2261</v>
      </c>
      <c r="Q101" s="2"/>
      <c r="R101" s="27"/>
      <c r="S101" s="30"/>
      <c r="T101" s="30"/>
      <c r="U101" s="30"/>
      <c r="V101" s="30"/>
      <c r="W101" s="30"/>
      <c r="X101" s="30"/>
      <c r="Y101" s="23"/>
      <c r="Z101" s="24"/>
      <c r="AA101" s="30"/>
      <c r="AB101" s="30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91"/>
      <c r="AQ101" s="49"/>
      <c r="AR101" s="33"/>
      <c r="AS101" s="33"/>
      <c r="AT101" s="32" t="s">
        <v>27</v>
      </c>
      <c r="AU101" s="32" t="s">
        <v>761</v>
      </c>
      <c r="AV101" s="49"/>
      <c r="AW101" s="32"/>
      <c r="AX101" s="49"/>
      <c r="AY101" s="32"/>
      <c r="AZ101" s="49"/>
      <c r="BA101" s="32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</row>
    <row r="102" spans="1:67" x14ac:dyDescent="0.2">
      <c r="A102" s="51" t="s">
        <v>718</v>
      </c>
      <c r="B102" s="51" t="s">
        <v>13</v>
      </c>
      <c r="C102" s="30" t="s">
        <v>14</v>
      </c>
      <c r="D102" s="114">
        <v>101</v>
      </c>
      <c r="E102" s="424" t="s">
        <v>287</v>
      </c>
      <c r="F102" s="425" t="s">
        <v>2208</v>
      </c>
      <c r="G102" s="426" t="s">
        <v>2206</v>
      </c>
      <c r="H102" s="29" t="s">
        <v>14</v>
      </c>
      <c r="I102" s="573" t="s">
        <v>750</v>
      </c>
      <c r="J102" s="47" t="s">
        <v>92</v>
      </c>
      <c r="K102" s="27" t="s">
        <v>751</v>
      </c>
      <c r="L102" s="27" t="s">
        <v>21</v>
      </c>
      <c r="M102" s="47" t="s">
        <v>752</v>
      </c>
      <c r="N102" s="30" t="s">
        <v>23</v>
      </c>
      <c r="O102" s="51" t="s">
        <v>753</v>
      </c>
      <c r="P102" s="515" t="s">
        <v>2207</v>
      </c>
      <c r="Q102" s="516"/>
      <c r="R102" s="515"/>
      <c r="S102" s="515"/>
      <c r="T102" s="515"/>
      <c r="U102" s="30"/>
      <c r="V102" s="30"/>
      <c r="W102" s="30"/>
      <c r="X102" s="30"/>
      <c r="Y102" s="23"/>
      <c r="Z102" s="24"/>
      <c r="AA102" s="30"/>
      <c r="AB102" s="30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91"/>
      <c r="AQ102" s="49"/>
      <c r="AR102" s="32"/>
      <c r="AS102" s="32"/>
      <c r="AT102" s="32" t="s">
        <v>767</v>
      </c>
      <c r="AU102" s="49" t="s">
        <v>768</v>
      </c>
      <c r="AV102" s="32"/>
      <c r="AW102" s="49"/>
      <c r="AX102" s="32"/>
      <c r="AY102" s="49"/>
      <c r="AZ102" s="32"/>
      <c r="BA102" s="49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</row>
    <row r="103" spans="1:67" x14ac:dyDescent="0.2">
      <c r="A103" s="51" t="s">
        <v>718</v>
      </c>
      <c r="B103" s="51" t="s">
        <v>13</v>
      </c>
      <c r="C103" s="30" t="s">
        <v>14</v>
      </c>
      <c r="D103" s="114">
        <v>102</v>
      </c>
      <c r="E103" s="438" t="s">
        <v>88</v>
      </c>
      <c r="F103" s="441" t="s">
        <v>755</v>
      </c>
      <c r="G103" s="440" t="s">
        <v>756</v>
      </c>
      <c r="H103" s="29" t="s">
        <v>14</v>
      </c>
      <c r="I103" s="573" t="s">
        <v>757</v>
      </c>
      <c r="J103" s="47" t="s">
        <v>92</v>
      </c>
      <c r="K103" s="27" t="s">
        <v>758</v>
      </c>
      <c r="L103" s="27" t="s">
        <v>21</v>
      </c>
      <c r="M103" s="47" t="s">
        <v>759</v>
      </c>
      <c r="N103" s="30" t="s">
        <v>23</v>
      </c>
      <c r="O103" s="30" t="s">
        <v>760</v>
      </c>
      <c r="P103" s="30"/>
      <c r="Q103" s="47"/>
      <c r="R103" s="47"/>
      <c r="S103" s="51"/>
      <c r="T103" s="51"/>
      <c r="U103" s="51"/>
      <c r="V103" s="51"/>
      <c r="W103" s="30"/>
      <c r="X103" s="30"/>
      <c r="Y103" s="23"/>
      <c r="Z103" s="24"/>
      <c r="AA103" s="30"/>
      <c r="AB103" s="51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1"/>
      <c r="AQ103" s="32"/>
      <c r="AR103" s="49"/>
      <c r="AS103" s="49"/>
      <c r="AT103" s="32" t="s">
        <v>767</v>
      </c>
      <c r="AU103" s="49" t="s">
        <v>775</v>
      </c>
      <c r="AV103" s="49"/>
      <c r="AW103" s="49"/>
      <c r="AX103" s="49"/>
      <c r="AY103" s="49"/>
      <c r="AZ103" s="49"/>
      <c r="BA103" s="49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</row>
    <row r="104" spans="1:67" x14ac:dyDescent="0.2">
      <c r="A104" s="51" t="s">
        <v>718</v>
      </c>
      <c r="B104" s="51" t="s">
        <v>13</v>
      </c>
      <c r="C104" s="30" t="s">
        <v>14</v>
      </c>
      <c r="D104" s="114">
        <v>103</v>
      </c>
      <c r="E104" s="438" t="s">
        <v>445</v>
      </c>
      <c r="F104" s="441" t="s">
        <v>81</v>
      </c>
      <c r="G104" s="441" t="s">
        <v>762</v>
      </c>
      <c r="H104" s="29" t="s">
        <v>14</v>
      </c>
      <c r="I104" s="573" t="s">
        <v>763</v>
      </c>
      <c r="J104" s="47" t="s">
        <v>92</v>
      </c>
      <c r="K104" s="27" t="s">
        <v>764</v>
      </c>
      <c r="L104" s="27" t="s">
        <v>58</v>
      </c>
      <c r="M104" s="47" t="s">
        <v>765</v>
      </c>
      <c r="N104" s="30" t="s">
        <v>23</v>
      </c>
      <c r="O104" s="51" t="s">
        <v>766</v>
      </c>
      <c r="P104" s="465" t="s">
        <v>2238</v>
      </c>
      <c r="Q104" s="27"/>
      <c r="R104" s="48"/>
      <c r="S104" s="51"/>
      <c r="T104" s="51"/>
      <c r="U104" s="51"/>
      <c r="V104" s="51"/>
      <c r="W104" s="30"/>
      <c r="X104" s="30"/>
      <c r="Y104" s="23"/>
      <c r="Z104" s="24"/>
      <c r="AA104" s="30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91"/>
      <c r="AQ104" s="49"/>
      <c r="AR104" s="49"/>
      <c r="AS104" s="49"/>
      <c r="AT104" s="32" t="s">
        <v>767</v>
      </c>
      <c r="AU104" s="33" t="s">
        <v>782</v>
      </c>
      <c r="AV104" s="49"/>
      <c r="AW104" s="49"/>
      <c r="AX104" s="32"/>
      <c r="AY104" s="33"/>
      <c r="AZ104" s="32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</row>
    <row r="105" spans="1:67" x14ac:dyDescent="0.2">
      <c r="A105" s="51" t="s">
        <v>87</v>
      </c>
      <c r="B105" s="51" t="s">
        <v>13</v>
      </c>
      <c r="C105" s="30" t="s">
        <v>14</v>
      </c>
      <c r="D105" s="114">
        <v>104</v>
      </c>
      <c r="E105" s="434" t="s">
        <v>15</v>
      </c>
      <c r="F105" s="435" t="s">
        <v>807</v>
      </c>
      <c r="G105" s="426" t="s">
        <v>808</v>
      </c>
      <c r="H105" s="29" t="s">
        <v>14</v>
      </c>
      <c r="I105" s="573" t="s">
        <v>771</v>
      </c>
      <c r="J105" s="47" t="s">
        <v>92</v>
      </c>
      <c r="K105" s="47" t="s">
        <v>772</v>
      </c>
      <c r="L105" s="27" t="s">
        <v>58</v>
      </c>
      <c r="M105" s="47" t="s">
        <v>773</v>
      </c>
      <c r="N105" s="30" t="s">
        <v>23</v>
      </c>
      <c r="O105" s="51" t="s">
        <v>774</v>
      </c>
      <c r="P105" s="51"/>
      <c r="Q105" s="27"/>
      <c r="R105" s="27"/>
      <c r="S105" s="30"/>
      <c r="T105" s="30"/>
      <c r="U105" s="30"/>
      <c r="V105" s="30"/>
      <c r="W105" s="30"/>
      <c r="X105" s="30"/>
      <c r="Y105" s="23"/>
      <c r="Z105" s="24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1"/>
      <c r="AQ105" s="32"/>
      <c r="AR105" s="33"/>
      <c r="AS105" s="33"/>
      <c r="AT105" s="32" t="s">
        <v>767</v>
      </c>
      <c r="AU105" s="49" t="s">
        <v>791</v>
      </c>
      <c r="AV105" s="49"/>
      <c r="AW105" s="49"/>
      <c r="AX105" s="49"/>
      <c r="AY105" s="49"/>
      <c r="AZ105" s="49"/>
      <c r="BA105" s="49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</row>
    <row r="106" spans="1:67" x14ac:dyDescent="0.2">
      <c r="A106" s="51" t="s">
        <v>718</v>
      </c>
      <c r="B106" s="51" t="s">
        <v>13</v>
      </c>
      <c r="C106" s="30" t="s">
        <v>14</v>
      </c>
      <c r="D106" s="114">
        <v>105</v>
      </c>
      <c r="E106" s="438" t="s">
        <v>34</v>
      </c>
      <c r="F106" s="441" t="s">
        <v>776</v>
      </c>
      <c r="G106" s="440" t="s">
        <v>777</v>
      </c>
      <c r="H106" s="29" t="s">
        <v>14</v>
      </c>
      <c r="I106" s="573" t="s">
        <v>778</v>
      </c>
      <c r="J106" s="47" t="s">
        <v>92</v>
      </c>
      <c r="K106" s="47" t="s">
        <v>779</v>
      </c>
      <c r="L106" s="27" t="s">
        <v>58</v>
      </c>
      <c r="M106" s="47" t="s">
        <v>780</v>
      </c>
      <c r="N106" s="30" t="s">
        <v>23</v>
      </c>
      <c r="O106" s="51" t="s">
        <v>781</v>
      </c>
      <c r="P106" s="51"/>
      <c r="Q106" s="41"/>
      <c r="R106" s="27"/>
      <c r="S106" s="51"/>
      <c r="T106" s="51"/>
      <c r="U106" s="51"/>
      <c r="V106" s="51"/>
      <c r="W106" s="30"/>
      <c r="X106" s="30"/>
      <c r="Y106" s="146"/>
      <c r="Z106" s="147"/>
      <c r="AA106" s="147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91"/>
      <c r="AQ106" s="49"/>
      <c r="AR106" s="49"/>
      <c r="AS106" s="49"/>
      <c r="AT106" s="32" t="s">
        <v>767</v>
      </c>
      <c r="AU106" s="49" t="s">
        <v>792</v>
      </c>
      <c r="AV106" s="49"/>
      <c r="AW106" s="49"/>
      <c r="AX106" s="49"/>
      <c r="AY106" s="49"/>
      <c r="AZ106" s="49"/>
      <c r="BA106" s="49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</row>
    <row r="107" spans="1:67" x14ac:dyDescent="0.2">
      <c r="A107" s="51" t="s">
        <v>87</v>
      </c>
      <c r="B107" s="51" t="s">
        <v>13</v>
      </c>
      <c r="C107" s="30" t="s">
        <v>14</v>
      </c>
      <c r="D107" s="106">
        <v>106</v>
      </c>
      <c r="E107" s="424" t="s">
        <v>15</v>
      </c>
      <c r="F107" s="425" t="s">
        <v>783</v>
      </c>
      <c r="G107" s="426" t="s">
        <v>157</v>
      </c>
      <c r="H107" s="29" t="s">
        <v>14</v>
      </c>
      <c r="I107" s="576" t="s">
        <v>784</v>
      </c>
      <c r="J107" s="47" t="s">
        <v>92</v>
      </c>
      <c r="K107" s="27" t="s">
        <v>785</v>
      </c>
      <c r="L107" s="25" t="s">
        <v>58</v>
      </c>
      <c r="M107" s="27" t="s">
        <v>786</v>
      </c>
      <c r="N107" s="27" t="s">
        <v>23</v>
      </c>
      <c r="O107" s="30" t="s">
        <v>787</v>
      </c>
      <c r="P107" s="30"/>
      <c r="Q107" s="27" t="s">
        <v>788</v>
      </c>
      <c r="R107" s="27" t="s">
        <v>789</v>
      </c>
      <c r="S107" s="30" t="s">
        <v>25</v>
      </c>
      <c r="T107" s="30" t="s">
        <v>790</v>
      </c>
      <c r="U107" s="30"/>
      <c r="V107" s="30"/>
      <c r="W107" s="30"/>
      <c r="X107" s="30"/>
      <c r="Y107" s="23"/>
      <c r="Z107" s="24"/>
      <c r="AA107" s="30"/>
      <c r="AB107" s="30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91"/>
      <c r="AQ107" s="49"/>
      <c r="AR107" s="49"/>
      <c r="AS107" s="49"/>
      <c r="AT107" s="32" t="s">
        <v>767</v>
      </c>
      <c r="AU107" s="49" t="s">
        <v>794</v>
      </c>
      <c r="AV107" s="49"/>
      <c r="AW107" s="49"/>
      <c r="AX107" s="49"/>
      <c r="AY107" s="49"/>
      <c r="AZ107" s="49"/>
      <c r="BA107" s="49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</row>
    <row r="108" spans="1:67" x14ac:dyDescent="0.2">
      <c r="A108" s="51" t="s">
        <v>87</v>
      </c>
      <c r="B108" s="51" t="s">
        <v>2256</v>
      </c>
      <c r="C108" s="30" t="s">
        <v>14</v>
      </c>
      <c r="D108" s="114">
        <v>107</v>
      </c>
      <c r="E108" s="564"/>
      <c r="F108" s="565" t="s">
        <v>29</v>
      </c>
      <c r="G108" s="566"/>
      <c r="H108" s="47" t="s">
        <v>14</v>
      </c>
      <c r="I108" s="573"/>
      <c r="J108" s="47" t="s">
        <v>92</v>
      </c>
      <c r="K108" s="47"/>
      <c r="L108" s="27" t="s">
        <v>21</v>
      </c>
      <c r="M108" s="47"/>
      <c r="N108" s="27" t="s">
        <v>23</v>
      </c>
      <c r="O108" s="127"/>
      <c r="P108" s="127"/>
      <c r="Q108" s="47"/>
      <c r="R108" s="47"/>
      <c r="S108" s="51"/>
      <c r="T108" s="51"/>
      <c r="U108" s="51"/>
      <c r="V108" s="51"/>
      <c r="W108" s="30"/>
      <c r="X108" s="30"/>
      <c r="Y108" s="23"/>
      <c r="Z108" s="24"/>
      <c r="AA108" s="30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148"/>
      <c r="AQ108" s="149"/>
      <c r="AR108" s="149"/>
      <c r="AS108" s="149"/>
      <c r="AT108" s="150" t="s">
        <v>767</v>
      </c>
      <c r="AU108" s="149" t="s">
        <v>799</v>
      </c>
      <c r="AV108" s="149"/>
      <c r="AW108" s="149"/>
      <c r="AX108" s="149"/>
      <c r="AY108" s="149"/>
      <c r="AZ108" s="149"/>
      <c r="BA108" s="149"/>
      <c r="BB108" s="151"/>
      <c r="BC108" s="151"/>
      <c r="BD108" s="151"/>
      <c r="BE108" s="151"/>
      <c r="BF108" s="151"/>
      <c r="BG108" s="151"/>
      <c r="BH108" s="151"/>
      <c r="BI108" s="151"/>
      <c r="BJ108" s="151"/>
      <c r="BK108" s="151"/>
      <c r="BL108" s="151"/>
      <c r="BM108" s="151"/>
      <c r="BN108" s="151"/>
      <c r="BO108" s="151"/>
    </row>
    <row r="109" spans="1:67" x14ac:dyDescent="0.2">
      <c r="A109" s="109" t="s">
        <v>87</v>
      </c>
      <c r="B109" s="109" t="s">
        <v>2256</v>
      </c>
      <c r="C109" s="15" t="s">
        <v>14</v>
      </c>
      <c r="D109" s="121">
        <v>108</v>
      </c>
      <c r="E109" s="504"/>
      <c r="F109" s="507" t="s">
        <v>29</v>
      </c>
      <c r="G109" s="510"/>
      <c r="H109" s="19" t="s">
        <v>14</v>
      </c>
      <c r="I109" s="582" t="s">
        <v>793</v>
      </c>
      <c r="J109" s="20" t="s">
        <v>92</v>
      </c>
      <c r="K109" s="20"/>
      <c r="L109" s="14" t="s">
        <v>21</v>
      </c>
      <c r="M109" s="86"/>
      <c r="N109" s="14" t="s">
        <v>23</v>
      </c>
      <c r="O109" s="127"/>
      <c r="P109" s="127"/>
      <c r="Q109" s="125"/>
      <c r="R109" s="14"/>
      <c r="S109" s="109"/>
      <c r="T109" s="109"/>
      <c r="U109" s="109"/>
      <c r="V109" s="109"/>
      <c r="W109" s="15"/>
      <c r="X109" s="15"/>
      <c r="Y109" s="23"/>
      <c r="Z109" s="24"/>
      <c r="AA109" s="30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152"/>
      <c r="AQ109" s="153"/>
      <c r="AR109" s="153"/>
      <c r="AS109" s="153"/>
      <c r="AT109" s="154" t="s">
        <v>767</v>
      </c>
      <c r="AU109" s="153" t="s">
        <v>806</v>
      </c>
      <c r="AV109" s="154"/>
      <c r="AW109" s="153"/>
      <c r="AX109" s="154"/>
      <c r="AY109" s="153"/>
      <c r="AZ109" s="154"/>
      <c r="BA109" s="153"/>
      <c r="BB109" s="155"/>
      <c r="BC109" s="155"/>
      <c r="BD109" s="155"/>
      <c r="BE109" s="155"/>
      <c r="BF109" s="155"/>
      <c r="BG109" s="155"/>
      <c r="BH109" s="155"/>
      <c r="BI109" s="155"/>
      <c r="BJ109" s="155"/>
      <c r="BK109" s="155"/>
      <c r="BL109" s="155"/>
      <c r="BM109" s="155"/>
      <c r="BN109" s="155"/>
      <c r="BO109" s="155"/>
    </row>
    <row r="110" spans="1:67" x14ac:dyDescent="0.2">
      <c r="A110" s="51" t="s">
        <v>87</v>
      </c>
      <c r="B110" s="51" t="s">
        <v>2255</v>
      </c>
      <c r="C110" s="30" t="s">
        <v>14</v>
      </c>
      <c r="D110" s="114">
        <v>109</v>
      </c>
      <c r="E110" s="128" t="s">
        <v>577</v>
      </c>
      <c r="F110" s="43" t="s">
        <v>795</v>
      </c>
      <c r="G110" s="128" t="s">
        <v>72</v>
      </c>
      <c r="H110" s="29" t="s">
        <v>14</v>
      </c>
      <c r="I110" s="573" t="s">
        <v>796</v>
      </c>
      <c r="J110" s="47" t="s">
        <v>92</v>
      </c>
      <c r="K110" s="27" t="s">
        <v>797</v>
      </c>
      <c r="L110" s="27" t="s">
        <v>21</v>
      </c>
      <c r="M110" s="47" t="s">
        <v>798</v>
      </c>
      <c r="N110" s="27" t="s">
        <v>23</v>
      </c>
      <c r="O110" s="22">
        <v>6542859</v>
      </c>
      <c r="P110" s="22"/>
      <c r="Q110" s="47"/>
      <c r="R110" s="47"/>
      <c r="S110" s="51"/>
      <c r="T110" s="51"/>
      <c r="U110" s="51"/>
      <c r="V110" s="51"/>
      <c r="W110" s="30"/>
      <c r="X110" s="30"/>
      <c r="Y110" s="23"/>
      <c r="Z110" s="24"/>
      <c r="AA110" s="30"/>
      <c r="AB110" s="51"/>
      <c r="AC110" s="51"/>
      <c r="AD110" s="2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140"/>
      <c r="AQ110" s="113"/>
      <c r="AR110" s="113"/>
      <c r="AS110" s="113"/>
      <c r="AT110" s="73" t="s">
        <v>767</v>
      </c>
      <c r="AU110" s="75" t="s">
        <v>812</v>
      </c>
      <c r="AV110" s="113"/>
      <c r="AW110" s="113"/>
      <c r="AX110" s="113"/>
      <c r="AY110" s="113"/>
      <c r="AZ110" s="113"/>
      <c r="BA110" s="113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</row>
    <row r="111" spans="1:67" x14ac:dyDescent="0.2">
      <c r="A111" s="109" t="s">
        <v>87</v>
      </c>
      <c r="B111" s="109" t="s">
        <v>13</v>
      </c>
      <c r="C111" s="15" t="s">
        <v>14</v>
      </c>
      <c r="D111" s="121">
        <v>110</v>
      </c>
      <c r="E111" s="429" t="s">
        <v>34</v>
      </c>
      <c r="F111" s="430" t="s">
        <v>800</v>
      </c>
      <c r="G111" s="431" t="s">
        <v>801</v>
      </c>
      <c r="H111" s="19" t="s">
        <v>14</v>
      </c>
      <c r="I111" s="582" t="s">
        <v>802</v>
      </c>
      <c r="J111" s="20" t="s">
        <v>92</v>
      </c>
      <c r="K111" s="20" t="s">
        <v>803</v>
      </c>
      <c r="L111" s="14" t="s">
        <v>21</v>
      </c>
      <c r="M111" s="21" t="s">
        <v>804</v>
      </c>
      <c r="N111" s="14" t="s">
        <v>23</v>
      </c>
      <c r="O111" s="15" t="s">
        <v>805</v>
      </c>
      <c r="P111" s="15"/>
      <c r="Q111" s="20"/>
      <c r="R111" s="20"/>
      <c r="S111" s="109"/>
      <c r="T111" s="109"/>
      <c r="U111" s="109"/>
      <c r="V111" s="109"/>
      <c r="W111" s="15"/>
      <c r="X111" s="15"/>
      <c r="Y111" s="23"/>
      <c r="Z111" s="24"/>
      <c r="AA111" s="30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91"/>
      <c r="AQ111" s="49"/>
      <c r="AR111" s="33"/>
      <c r="AS111" s="33"/>
      <c r="AT111" s="32" t="s">
        <v>767</v>
      </c>
      <c r="AU111" s="49" t="s">
        <v>818</v>
      </c>
      <c r="AV111" s="32"/>
      <c r="AW111" s="32"/>
      <c r="AX111" s="32"/>
      <c r="AY111" s="32"/>
      <c r="AZ111" s="32"/>
      <c r="BA111" s="32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</row>
    <row r="112" spans="1:67" x14ac:dyDescent="0.2">
      <c r="A112" s="51" t="s">
        <v>87</v>
      </c>
      <c r="B112" s="51" t="s">
        <v>13</v>
      </c>
      <c r="C112" s="30" t="s">
        <v>14</v>
      </c>
      <c r="D112" s="114">
        <v>111</v>
      </c>
      <c r="E112" s="439" t="s">
        <v>34</v>
      </c>
      <c r="F112" s="451" t="s">
        <v>851</v>
      </c>
      <c r="G112" s="439" t="s">
        <v>559</v>
      </c>
      <c r="H112" s="29" t="s">
        <v>14</v>
      </c>
      <c r="I112" s="573" t="s">
        <v>809</v>
      </c>
      <c r="J112" s="47" t="s">
        <v>92</v>
      </c>
      <c r="K112" s="27" t="s">
        <v>810</v>
      </c>
      <c r="L112" s="27" t="s">
        <v>21</v>
      </c>
      <c r="M112" s="48" t="s">
        <v>811</v>
      </c>
      <c r="N112" s="27" t="s">
        <v>23</v>
      </c>
      <c r="O112" s="488">
        <v>6517918</v>
      </c>
      <c r="P112" s="27" t="s">
        <v>2245</v>
      </c>
      <c r="Q112" s="29"/>
      <c r="R112" s="27"/>
      <c r="S112" s="30"/>
      <c r="T112" s="30"/>
      <c r="U112" s="51"/>
      <c r="V112" s="51"/>
      <c r="W112" s="30"/>
      <c r="X112" s="30"/>
      <c r="Y112" s="23"/>
      <c r="Z112" s="24"/>
      <c r="AA112" s="30"/>
      <c r="AB112" s="51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1"/>
      <c r="AQ112" s="32"/>
      <c r="AR112" s="49"/>
      <c r="AS112" s="49"/>
      <c r="AT112" s="32" t="s">
        <v>767</v>
      </c>
      <c r="AU112" s="49" t="s">
        <v>825</v>
      </c>
      <c r="AV112" s="49"/>
      <c r="AW112" s="49"/>
      <c r="AX112" s="49"/>
      <c r="AY112" s="49"/>
      <c r="AZ112" s="49"/>
      <c r="BA112" s="49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</row>
    <row r="113" spans="1:67" x14ac:dyDescent="0.2">
      <c r="A113" s="109" t="s">
        <v>87</v>
      </c>
      <c r="B113" s="109" t="s">
        <v>13</v>
      </c>
      <c r="C113" s="15" t="s">
        <v>14</v>
      </c>
      <c r="D113" s="121">
        <v>112</v>
      </c>
      <c r="E113" s="429" t="s">
        <v>88</v>
      </c>
      <c r="F113" s="430" t="s">
        <v>813</v>
      </c>
      <c r="G113" s="431" t="s">
        <v>814</v>
      </c>
      <c r="H113" s="19" t="s">
        <v>14</v>
      </c>
      <c r="I113" s="582" t="s">
        <v>815</v>
      </c>
      <c r="J113" s="20" t="s">
        <v>92</v>
      </c>
      <c r="K113" s="14" t="s">
        <v>816</v>
      </c>
      <c r="L113" s="14" t="s">
        <v>21</v>
      </c>
      <c r="M113" s="21" t="s">
        <v>817</v>
      </c>
      <c r="N113" s="14" t="s">
        <v>23</v>
      </c>
      <c r="O113" s="477">
        <v>583</v>
      </c>
      <c r="P113" s="25"/>
      <c r="Q113" s="14"/>
      <c r="R113" s="14"/>
      <c r="S113" s="86"/>
      <c r="T113" s="86"/>
      <c r="U113" s="109"/>
      <c r="V113" s="109"/>
      <c r="W113" s="15"/>
      <c r="X113" s="15"/>
      <c r="Y113" s="23"/>
      <c r="Z113" s="24"/>
      <c r="AA113" s="30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91"/>
      <c r="AQ113" s="49"/>
      <c r="AR113" s="49"/>
      <c r="AS113" s="49"/>
      <c r="AT113" s="32" t="s">
        <v>767</v>
      </c>
      <c r="AU113" s="49" t="s">
        <v>831</v>
      </c>
      <c r="AV113" s="49"/>
      <c r="AW113" s="49"/>
      <c r="AX113" s="49"/>
      <c r="AY113" s="49"/>
      <c r="AZ113" s="49"/>
      <c r="BA113" s="49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</row>
    <row r="114" spans="1:67" x14ac:dyDescent="0.2">
      <c r="A114" s="51" t="s">
        <v>87</v>
      </c>
      <c r="B114" s="51" t="s">
        <v>13</v>
      </c>
      <c r="C114" s="30" t="s">
        <v>14</v>
      </c>
      <c r="D114" s="106">
        <v>113</v>
      </c>
      <c r="E114" s="424" t="s">
        <v>34</v>
      </c>
      <c r="F114" s="425" t="s">
        <v>820</v>
      </c>
      <c r="G114" s="426" t="s">
        <v>551</v>
      </c>
      <c r="H114" s="29" t="s">
        <v>14</v>
      </c>
      <c r="I114" s="576" t="s">
        <v>821</v>
      </c>
      <c r="J114" s="47" t="s">
        <v>92</v>
      </c>
      <c r="K114" s="27" t="s">
        <v>822</v>
      </c>
      <c r="L114" s="27" t="s">
        <v>58</v>
      </c>
      <c r="M114" s="39" t="s">
        <v>823</v>
      </c>
      <c r="N114" s="27" t="s">
        <v>23</v>
      </c>
      <c r="O114" s="40" t="s">
        <v>824</v>
      </c>
      <c r="P114" s="40"/>
      <c r="Q114" s="27"/>
      <c r="R114" s="27"/>
      <c r="S114" s="30"/>
      <c r="T114" s="30"/>
      <c r="U114" s="30"/>
      <c r="V114" s="30"/>
      <c r="W114" s="30"/>
      <c r="X114" s="30"/>
      <c r="Y114" s="23"/>
      <c r="Z114" s="24"/>
      <c r="AA114" s="30"/>
      <c r="AB114" s="30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91"/>
      <c r="AQ114" s="49"/>
      <c r="AR114" s="49"/>
      <c r="AS114" s="49"/>
      <c r="AT114" s="32" t="s">
        <v>767</v>
      </c>
      <c r="AU114" s="49" t="s">
        <v>838</v>
      </c>
      <c r="AV114" s="32"/>
      <c r="AW114" s="32"/>
      <c r="AX114" s="32"/>
      <c r="AY114" s="32"/>
      <c r="AZ114" s="32"/>
      <c r="BA114" s="32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</row>
    <row r="115" spans="1:67" x14ac:dyDescent="0.2">
      <c r="A115" s="51" t="s">
        <v>87</v>
      </c>
      <c r="B115" s="51" t="s">
        <v>2255</v>
      </c>
      <c r="C115" s="30" t="s">
        <v>14</v>
      </c>
      <c r="D115" s="106">
        <v>114</v>
      </c>
      <c r="E115" s="92" t="s">
        <v>44</v>
      </c>
      <c r="F115" s="88" t="s">
        <v>826</v>
      </c>
      <c r="G115" s="45" t="s">
        <v>206</v>
      </c>
      <c r="H115" s="29" t="s">
        <v>14</v>
      </c>
      <c r="I115" s="576" t="s">
        <v>827</v>
      </c>
      <c r="J115" s="47" t="s">
        <v>92</v>
      </c>
      <c r="K115" s="27" t="s">
        <v>828</v>
      </c>
      <c r="L115" s="27" t="s">
        <v>21</v>
      </c>
      <c r="M115" s="48" t="s">
        <v>829</v>
      </c>
      <c r="N115" s="30" t="s">
        <v>23</v>
      </c>
      <c r="O115" s="25" t="s">
        <v>830</v>
      </c>
      <c r="P115" s="25"/>
      <c r="Q115" s="41"/>
      <c r="R115" s="47"/>
      <c r="S115" s="30"/>
      <c r="T115" s="30"/>
      <c r="U115" s="51"/>
      <c r="V115" s="51"/>
      <c r="W115" s="30"/>
      <c r="X115" s="30"/>
      <c r="Y115" s="23"/>
      <c r="Z115" s="24"/>
      <c r="AA115" s="30"/>
      <c r="AB115" s="51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1"/>
      <c r="AQ115" s="32"/>
      <c r="AR115" s="49"/>
      <c r="AS115" s="49"/>
      <c r="AT115" s="32" t="s">
        <v>767</v>
      </c>
      <c r="AU115" s="49" t="s">
        <v>850</v>
      </c>
      <c r="AV115" s="32"/>
      <c r="AW115" s="32"/>
      <c r="AX115" s="32"/>
      <c r="AY115" s="32"/>
      <c r="AZ115" s="32"/>
      <c r="BA115" s="32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</row>
    <row r="116" spans="1:67" x14ac:dyDescent="0.2">
      <c r="A116" s="51" t="s">
        <v>87</v>
      </c>
      <c r="B116" s="51" t="s">
        <v>13</v>
      </c>
      <c r="C116" s="30" t="s">
        <v>14</v>
      </c>
      <c r="D116" s="114">
        <v>115</v>
      </c>
      <c r="E116" s="426" t="s">
        <v>88</v>
      </c>
      <c r="F116" s="437" t="s">
        <v>832</v>
      </c>
      <c r="G116" s="426" t="s">
        <v>833</v>
      </c>
      <c r="H116" s="29" t="s">
        <v>14</v>
      </c>
      <c r="I116" s="573" t="s">
        <v>834</v>
      </c>
      <c r="J116" s="47" t="s">
        <v>92</v>
      </c>
      <c r="K116" s="47" t="s">
        <v>835</v>
      </c>
      <c r="L116" s="27" t="s">
        <v>21</v>
      </c>
      <c r="M116" s="48" t="s">
        <v>836</v>
      </c>
      <c r="N116" s="30" t="s">
        <v>23</v>
      </c>
      <c r="O116" s="25" t="s">
        <v>837</v>
      </c>
      <c r="P116" s="25"/>
      <c r="Q116" s="27"/>
      <c r="R116" s="47"/>
      <c r="S116" s="30"/>
      <c r="T116" s="30"/>
      <c r="U116" s="51"/>
      <c r="V116" s="51"/>
      <c r="W116" s="30"/>
      <c r="X116" s="30"/>
      <c r="Y116" s="23"/>
      <c r="Z116" s="24"/>
      <c r="AA116" s="30"/>
      <c r="AB116" s="51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1"/>
      <c r="AQ116" s="32"/>
      <c r="AR116" s="49"/>
      <c r="AS116" s="49"/>
      <c r="AT116" s="32" t="s">
        <v>767</v>
      </c>
      <c r="AU116" s="33" t="s">
        <v>856</v>
      </c>
      <c r="AV116" s="32"/>
      <c r="AW116" s="32"/>
      <c r="AX116" s="32"/>
      <c r="AY116" s="32"/>
      <c r="AZ116" s="32"/>
      <c r="BA116" s="32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</row>
    <row r="117" spans="1:67" x14ac:dyDescent="0.2">
      <c r="A117" s="51" t="s">
        <v>87</v>
      </c>
      <c r="B117" s="51" t="s">
        <v>2255</v>
      </c>
      <c r="C117" s="30" t="s">
        <v>14</v>
      </c>
      <c r="D117" s="114">
        <v>116</v>
      </c>
      <c r="E117" s="79" t="s">
        <v>34</v>
      </c>
      <c r="F117" s="79" t="s">
        <v>446</v>
      </c>
      <c r="G117" s="45" t="s">
        <v>487</v>
      </c>
      <c r="H117" s="29" t="s">
        <v>14</v>
      </c>
      <c r="I117" s="573" t="s">
        <v>839</v>
      </c>
      <c r="J117" s="47" t="s">
        <v>92</v>
      </c>
      <c r="K117" s="47" t="s">
        <v>840</v>
      </c>
      <c r="L117" s="27" t="s">
        <v>21</v>
      </c>
      <c r="M117" s="48" t="s">
        <v>841</v>
      </c>
      <c r="N117" s="30" t="s">
        <v>23</v>
      </c>
      <c r="O117" s="25" t="s">
        <v>842</v>
      </c>
      <c r="P117" s="25" t="s">
        <v>2243</v>
      </c>
      <c r="Q117" s="27" t="s">
        <v>583</v>
      </c>
      <c r="R117" s="27" t="s">
        <v>843</v>
      </c>
      <c r="S117" s="39"/>
      <c r="T117" s="39"/>
      <c r="U117" s="30"/>
      <c r="V117" s="30"/>
      <c r="W117" s="30"/>
      <c r="X117" s="30"/>
      <c r="Y117" s="23"/>
      <c r="Z117" s="24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156"/>
      <c r="AQ117" s="150"/>
      <c r="AR117" s="151"/>
      <c r="AS117" s="151"/>
      <c r="AT117" s="150" t="s">
        <v>767</v>
      </c>
      <c r="AU117" s="149" t="s">
        <v>864</v>
      </c>
      <c r="AV117" s="150"/>
      <c r="AW117" s="150"/>
      <c r="AX117" s="150"/>
      <c r="AY117" s="150"/>
      <c r="AZ117" s="150"/>
      <c r="BA117" s="150"/>
      <c r="BB117" s="151"/>
      <c r="BC117" s="151"/>
      <c r="BD117" s="151"/>
      <c r="BE117" s="151"/>
      <c r="BF117" s="151"/>
      <c r="BG117" s="151"/>
      <c r="BH117" s="151"/>
      <c r="BI117" s="151"/>
      <c r="BJ117" s="151"/>
      <c r="BK117" s="151"/>
      <c r="BL117" s="151"/>
      <c r="BM117" s="151"/>
      <c r="BN117" s="151"/>
      <c r="BO117" s="151"/>
    </row>
    <row r="118" spans="1:67" x14ac:dyDescent="0.2">
      <c r="A118" s="51" t="s">
        <v>87</v>
      </c>
      <c r="B118" s="51" t="s">
        <v>13</v>
      </c>
      <c r="C118" s="30" t="s">
        <v>14</v>
      </c>
      <c r="D118" s="114">
        <v>117</v>
      </c>
      <c r="E118" s="440" t="s">
        <v>44</v>
      </c>
      <c r="F118" s="452" t="s">
        <v>844</v>
      </c>
      <c r="G118" s="440" t="s">
        <v>845</v>
      </c>
      <c r="H118" s="29" t="s">
        <v>14</v>
      </c>
      <c r="I118" s="573" t="s">
        <v>846</v>
      </c>
      <c r="J118" s="47" t="s">
        <v>92</v>
      </c>
      <c r="K118" s="47" t="s">
        <v>847</v>
      </c>
      <c r="L118" s="25" t="s">
        <v>58</v>
      </c>
      <c r="M118" s="48" t="s">
        <v>848</v>
      </c>
      <c r="N118" s="27" t="s">
        <v>23</v>
      </c>
      <c r="O118" s="25" t="s">
        <v>849</v>
      </c>
      <c r="P118" s="25"/>
      <c r="Q118" s="47"/>
      <c r="R118" s="47"/>
      <c r="S118" s="39"/>
      <c r="T118" s="39"/>
      <c r="U118" s="30"/>
      <c r="V118" s="30"/>
      <c r="W118" s="30"/>
      <c r="X118" s="30"/>
      <c r="Y118" s="23"/>
      <c r="Z118" s="24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157"/>
      <c r="AQ118" s="154"/>
      <c r="AR118" s="153"/>
      <c r="AS118" s="153"/>
      <c r="AT118" s="154" t="s">
        <v>767</v>
      </c>
      <c r="AU118" s="153" t="s">
        <v>871</v>
      </c>
      <c r="AV118" s="154"/>
      <c r="AW118" s="154"/>
      <c r="AX118" s="154"/>
      <c r="AY118" s="154"/>
      <c r="AZ118" s="154"/>
      <c r="BA118" s="154"/>
      <c r="BB118" s="155"/>
      <c r="BC118" s="155"/>
      <c r="BD118" s="155"/>
      <c r="BE118" s="155"/>
      <c r="BF118" s="155"/>
      <c r="BG118" s="155"/>
      <c r="BH118" s="155"/>
      <c r="BI118" s="155"/>
      <c r="BJ118" s="155"/>
      <c r="BK118" s="155"/>
      <c r="BL118" s="155"/>
      <c r="BM118" s="155"/>
      <c r="BN118" s="155"/>
      <c r="BO118" s="155"/>
    </row>
    <row r="119" spans="1:67" x14ac:dyDescent="0.2">
      <c r="A119" s="51" t="s">
        <v>87</v>
      </c>
      <c r="B119" s="51" t="s">
        <v>2255</v>
      </c>
      <c r="C119" s="30" t="s">
        <v>14</v>
      </c>
      <c r="D119" s="114">
        <v>118</v>
      </c>
      <c r="E119" s="478" t="s">
        <v>34</v>
      </c>
      <c r="F119" s="479" t="s">
        <v>851</v>
      </c>
      <c r="G119" s="468" t="s">
        <v>559</v>
      </c>
      <c r="H119" s="29" t="s">
        <v>14</v>
      </c>
      <c r="I119" s="573" t="s">
        <v>852</v>
      </c>
      <c r="J119" s="47" t="s">
        <v>92</v>
      </c>
      <c r="K119" s="47" t="s">
        <v>853</v>
      </c>
      <c r="L119" s="27" t="s">
        <v>21</v>
      </c>
      <c r="M119" s="48">
        <v>239593</v>
      </c>
      <c r="N119" s="27" t="s">
        <v>23</v>
      </c>
      <c r="O119" s="25" t="s">
        <v>854</v>
      </c>
      <c r="P119" s="25" t="s">
        <v>2246</v>
      </c>
      <c r="Q119" s="27" t="s">
        <v>583</v>
      </c>
      <c r="R119" s="48" t="s">
        <v>855</v>
      </c>
      <c r="S119" s="30"/>
      <c r="T119" s="30"/>
      <c r="U119" s="30"/>
      <c r="V119" s="30"/>
      <c r="W119" s="30"/>
      <c r="X119" s="30"/>
      <c r="Y119" s="23"/>
      <c r="Z119" s="24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108"/>
      <c r="AQ119" s="73"/>
      <c r="AR119" s="113"/>
      <c r="AS119" s="113"/>
      <c r="AT119" s="73" t="s">
        <v>767</v>
      </c>
      <c r="AU119" s="113" t="s">
        <v>877</v>
      </c>
      <c r="AV119" s="73"/>
      <c r="AW119" s="73"/>
      <c r="AX119" s="73"/>
      <c r="AY119" s="73"/>
      <c r="AZ119" s="73"/>
      <c r="BA119" s="73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5"/>
      <c r="BO119" s="75"/>
    </row>
    <row r="120" spans="1:67" x14ac:dyDescent="0.2">
      <c r="A120" s="51" t="s">
        <v>87</v>
      </c>
      <c r="B120" s="51" t="s">
        <v>13</v>
      </c>
      <c r="C120" s="30" t="s">
        <v>14</v>
      </c>
      <c r="D120" s="106">
        <v>119</v>
      </c>
      <c r="E120" s="434" t="s">
        <v>44</v>
      </c>
      <c r="F120" s="435" t="s">
        <v>857</v>
      </c>
      <c r="G120" s="425" t="s">
        <v>858</v>
      </c>
      <c r="H120" s="29" t="s">
        <v>14</v>
      </c>
      <c r="I120" s="576" t="s">
        <v>859</v>
      </c>
      <c r="J120" s="47" t="s">
        <v>92</v>
      </c>
      <c r="K120" s="27" t="s">
        <v>860</v>
      </c>
      <c r="L120" s="48" t="s">
        <v>21</v>
      </c>
      <c r="M120" s="48" t="s">
        <v>861</v>
      </c>
      <c r="N120" s="27" t="s">
        <v>23</v>
      </c>
      <c r="O120" s="51" t="s">
        <v>862</v>
      </c>
      <c r="P120" s="51"/>
      <c r="Q120" s="27"/>
      <c r="R120" s="27"/>
      <c r="S120" s="30" t="s">
        <v>25</v>
      </c>
      <c r="T120" s="30" t="s">
        <v>863</v>
      </c>
      <c r="U120" s="30"/>
      <c r="V120" s="30"/>
      <c r="W120" s="30"/>
      <c r="X120" s="30"/>
      <c r="Y120" s="23"/>
      <c r="Z120" s="24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1"/>
      <c r="AQ120" s="32"/>
      <c r="AR120" s="49"/>
      <c r="AS120" s="49"/>
      <c r="AT120" s="32" t="s">
        <v>767</v>
      </c>
      <c r="AU120" s="49" t="s">
        <v>884</v>
      </c>
      <c r="AV120" s="49"/>
      <c r="AW120" s="49"/>
      <c r="AX120" s="49"/>
      <c r="AY120" s="49"/>
      <c r="AZ120" s="49"/>
      <c r="BA120" s="49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</row>
    <row r="121" spans="1:67" x14ac:dyDescent="0.2">
      <c r="A121" s="51" t="s">
        <v>87</v>
      </c>
      <c r="B121" s="51" t="s">
        <v>13</v>
      </c>
      <c r="C121" s="30" t="s">
        <v>14</v>
      </c>
      <c r="D121" s="114">
        <v>120</v>
      </c>
      <c r="E121" s="450" t="s">
        <v>88</v>
      </c>
      <c r="F121" s="451" t="s">
        <v>865</v>
      </c>
      <c r="G121" s="441" t="s">
        <v>866</v>
      </c>
      <c r="H121" s="29" t="s">
        <v>14</v>
      </c>
      <c r="I121" s="573" t="s">
        <v>867</v>
      </c>
      <c r="J121" s="47" t="s">
        <v>92</v>
      </c>
      <c r="K121" s="47" t="s">
        <v>868</v>
      </c>
      <c r="L121" s="48" t="s">
        <v>21</v>
      </c>
      <c r="M121" s="47" t="s">
        <v>869</v>
      </c>
      <c r="N121" s="25" t="s">
        <v>23</v>
      </c>
      <c r="O121" s="30" t="s">
        <v>870</v>
      </c>
      <c r="P121" s="30" t="s">
        <v>2244</v>
      </c>
      <c r="Q121" s="27"/>
      <c r="R121" s="27"/>
      <c r="S121" s="30"/>
      <c r="T121" s="30"/>
      <c r="U121" s="30"/>
      <c r="V121" s="30"/>
      <c r="W121" s="30"/>
      <c r="X121" s="30"/>
      <c r="Y121" s="23"/>
      <c r="Z121" s="24"/>
      <c r="AA121" s="30"/>
      <c r="AB121" s="30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91"/>
      <c r="AQ121" s="49"/>
      <c r="AR121" s="49"/>
      <c r="AS121" s="49"/>
      <c r="AT121" s="32" t="s">
        <v>767</v>
      </c>
      <c r="AU121" s="49" t="s">
        <v>891</v>
      </c>
      <c r="AV121" s="32"/>
      <c r="AW121" s="32"/>
      <c r="AX121" s="32"/>
      <c r="AY121" s="32"/>
      <c r="AZ121" s="32"/>
      <c r="BA121" s="32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</row>
    <row r="122" spans="1:67" x14ac:dyDescent="0.2">
      <c r="A122" s="51" t="s">
        <v>87</v>
      </c>
      <c r="B122" s="51" t="s">
        <v>13</v>
      </c>
      <c r="C122" s="30" t="s">
        <v>14</v>
      </c>
      <c r="D122" s="114">
        <v>121</v>
      </c>
      <c r="E122" s="434" t="s">
        <v>287</v>
      </c>
      <c r="F122" s="435" t="s">
        <v>872</v>
      </c>
      <c r="G122" s="425" t="s">
        <v>55</v>
      </c>
      <c r="H122" s="29" t="s">
        <v>14</v>
      </c>
      <c r="I122" s="573" t="s">
        <v>873</v>
      </c>
      <c r="J122" s="47" t="s">
        <v>92</v>
      </c>
      <c r="K122" s="47" t="s">
        <v>874</v>
      </c>
      <c r="L122" s="25" t="s">
        <v>58</v>
      </c>
      <c r="M122" s="48" t="s">
        <v>875</v>
      </c>
      <c r="N122" s="27" t="s">
        <v>23</v>
      </c>
      <c r="O122" s="25" t="s">
        <v>2199</v>
      </c>
      <c r="P122" s="25"/>
      <c r="Q122" s="27"/>
      <c r="R122" s="27"/>
      <c r="S122" s="30"/>
      <c r="T122" s="30"/>
      <c r="U122" s="30"/>
      <c r="V122" s="30"/>
      <c r="W122" s="30"/>
      <c r="X122" s="30"/>
      <c r="Y122" s="23"/>
      <c r="Z122" s="24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1"/>
      <c r="AQ122" s="32"/>
      <c r="AR122" s="49"/>
      <c r="AS122" s="49"/>
      <c r="AT122" s="32" t="s">
        <v>767</v>
      </c>
      <c r="AU122" s="49" t="s">
        <v>896</v>
      </c>
      <c r="AV122" s="32"/>
      <c r="AW122" s="32"/>
      <c r="AX122" s="32"/>
      <c r="AY122" s="32"/>
      <c r="AZ122" s="32"/>
      <c r="BA122" s="32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</row>
    <row r="123" spans="1:67" x14ac:dyDescent="0.2">
      <c r="A123" s="109" t="s">
        <v>87</v>
      </c>
      <c r="B123" s="109" t="s">
        <v>13</v>
      </c>
      <c r="C123" s="15" t="s">
        <v>14</v>
      </c>
      <c r="D123" s="121">
        <v>122</v>
      </c>
      <c r="E123" s="453" t="s">
        <v>34</v>
      </c>
      <c r="F123" s="473" t="s">
        <v>2217</v>
      </c>
      <c r="G123" s="454" t="s">
        <v>2218</v>
      </c>
      <c r="H123" s="19" t="s">
        <v>14</v>
      </c>
      <c r="I123" s="582" t="s">
        <v>880</v>
      </c>
      <c r="J123" s="20" t="s">
        <v>92</v>
      </c>
      <c r="K123" s="20" t="s">
        <v>881</v>
      </c>
      <c r="L123" s="22" t="s">
        <v>58</v>
      </c>
      <c r="M123" s="21" t="s">
        <v>882</v>
      </c>
      <c r="N123" s="14" t="s">
        <v>23</v>
      </c>
      <c r="O123" s="22" t="s">
        <v>883</v>
      </c>
      <c r="P123" s="22"/>
      <c r="Q123" s="125"/>
      <c r="R123" s="20"/>
      <c r="S123" s="15"/>
      <c r="T123" s="15"/>
      <c r="U123" s="15"/>
      <c r="V123" s="15"/>
      <c r="W123" s="15"/>
      <c r="X123" s="15"/>
      <c r="Y123" s="23"/>
      <c r="Z123" s="24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1"/>
      <c r="AQ123" s="32"/>
      <c r="AR123" s="49"/>
      <c r="AS123" s="49"/>
      <c r="AT123" s="32" t="s">
        <v>767</v>
      </c>
      <c r="AU123" s="49" t="s">
        <v>902</v>
      </c>
      <c r="AV123" s="49"/>
      <c r="AW123" s="49"/>
      <c r="AX123" s="49"/>
      <c r="AY123" s="49"/>
      <c r="AZ123" s="49"/>
      <c r="BA123" s="49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</row>
    <row r="124" spans="1:67" x14ac:dyDescent="0.2">
      <c r="A124" s="51" t="s">
        <v>87</v>
      </c>
      <c r="B124" s="51" t="s">
        <v>13</v>
      </c>
      <c r="C124" s="30" t="s">
        <v>14</v>
      </c>
      <c r="D124" s="114">
        <v>123</v>
      </c>
      <c r="E124" s="440" t="s">
        <v>34</v>
      </c>
      <c r="F124" s="452" t="s">
        <v>885</v>
      </c>
      <c r="G124" s="440" t="s">
        <v>692</v>
      </c>
      <c r="H124" s="29" t="s">
        <v>14</v>
      </c>
      <c r="I124" s="573" t="s">
        <v>886</v>
      </c>
      <c r="J124" s="47" t="s">
        <v>92</v>
      </c>
      <c r="K124" s="47" t="s">
        <v>887</v>
      </c>
      <c r="L124" s="27" t="s">
        <v>58</v>
      </c>
      <c r="M124" s="48" t="s">
        <v>888</v>
      </c>
      <c r="N124" s="27" t="s">
        <v>23</v>
      </c>
      <c r="O124" s="25" t="s">
        <v>889</v>
      </c>
      <c r="P124" s="25" t="s">
        <v>2244</v>
      </c>
      <c r="Q124" s="27" t="s">
        <v>583</v>
      </c>
      <c r="R124" s="48" t="s">
        <v>890</v>
      </c>
      <c r="S124" s="51"/>
      <c r="T124" s="51"/>
      <c r="U124" s="51"/>
      <c r="V124" s="51"/>
      <c r="W124" s="30"/>
      <c r="X124" s="30"/>
      <c r="Y124" s="23"/>
      <c r="Z124" s="24"/>
      <c r="AA124" s="30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91"/>
      <c r="AQ124" s="49"/>
      <c r="AR124" s="49"/>
      <c r="AS124" s="49"/>
      <c r="AT124" s="32" t="s">
        <v>767</v>
      </c>
      <c r="AU124" s="49" t="s">
        <v>910</v>
      </c>
      <c r="AV124" s="32"/>
      <c r="AW124" s="32"/>
      <c r="AX124" s="32"/>
      <c r="AY124" s="32"/>
      <c r="AZ124" s="32"/>
      <c r="BA124" s="32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</row>
    <row r="125" spans="1:67" x14ac:dyDescent="0.2">
      <c r="A125" s="51" t="s">
        <v>87</v>
      </c>
      <c r="B125" s="51" t="s">
        <v>2255</v>
      </c>
      <c r="C125" s="30" t="s">
        <v>14</v>
      </c>
      <c r="D125" s="114">
        <v>124</v>
      </c>
      <c r="E125" s="480" t="s">
        <v>88</v>
      </c>
      <c r="F125" s="468" t="s">
        <v>892</v>
      </c>
      <c r="G125" s="469" t="s">
        <v>893</v>
      </c>
      <c r="H125" s="29" t="s">
        <v>14</v>
      </c>
      <c r="I125" s="573" t="s">
        <v>894</v>
      </c>
      <c r="J125" s="47" t="s">
        <v>92</v>
      </c>
      <c r="K125" s="47" t="s">
        <v>895</v>
      </c>
      <c r="L125" s="25"/>
      <c r="M125" s="48"/>
      <c r="N125" s="30" t="s">
        <v>23</v>
      </c>
      <c r="O125" s="25"/>
      <c r="P125" s="25" t="s">
        <v>2247</v>
      </c>
      <c r="Q125" s="41"/>
      <c r="R125" s="27"/>
      <c r="S125" s="30"/>
      <c r="T125" s="30"/>
      <c r="U125" s="30"/>
      <c r="V125" s="30"/>
      <c r="W125" s="30"/>
      <c r="X125" s="30"/>
      <c r="Y125" s="23"/>
      <c r="Z125" s="24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1"/>
      <c r="AQ125" s="32"/>
      <c r="AR125" s="49"/>
      <c r="AS125" s="49"/>
      <c r="AT125" s="32" t="s">
        <v>767</v>
      </c>
      <c r="AU125" s="32" t="s">
        <v>916</v>
      </c>
      <c r="AV125" s="32"/>
      <c r="AW125" s="32"/>
      <c r="AX125" s="32"/>
      <c r="AY125" s="32"/>
      <c r="AZ125" s="32"/>
      <c r="BA125" s="32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</row>
    <row r="126" spans="1:67" x14ac:dyDescent="0.2">
      <c r="A126" s="51" t="s">
        <v>87</v>
      </c>
      <c r="B126" s="51" t="s">
        <v>2255</v>
      </c>
      <c r="C126" s="27" t="s">
        <v>14</v>
      </c>
      <c r="D126" s="35">
        <v>125</v>
      </c>
      <c r="E126" s="92" t="s">
        <v>44</v>
      </c>
      <c r="F126" s="88" t="s">
        <v>897</v>
      </c>
      <c r="G126" s="45" t="s">
        <v>226</v>
      </c>
      <c r="H126" s="29" t="s">
        <v>14</v>
      </c>
      <c r="I126" s="576" t="s">
        <v>898</v>
      </c>
      <c r="J126" s="47" t="s">
        <v>92</v>
      </c>
      <c r="K126" s="27" t="s">
        <v>899</v>
      </c>
      <c r="L126" s="25" t="s">
        <v>58</v>
      </c>
      <c r="M126" s="48" t="s">
        <v>900</v>
      </c>
      <c r="N126" s="30" t="s">
        <v>23</v>
      </c>
      <c r="O126" s="25" t="s">
        <v>901</v>
      </c>
      <c r="P126" s="25"/>
      <c r="Q126" s="27"/>
      <c r="R126" s="47"/>
      <c r="S126" s="30"/>
      <c r="T126" s="30"/>
      <c r="U126" s="30"/>
      <c r="V126" s="30"/>
      <c r="W126" s="30"/>
      <c r="X126" s="30"/>
      <c r="Y126" s="23"/>
      <c r="Z126" s="24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1"/>
      <c r="AQ126" s="32"/>
      <c r="AR126" s="32"/>
      <c r="AS126" s="32"/>
      <c r="AT126" s="32" t="s">
        <v>767</v>
      </c>
      <c r="AU126" s="49" t="s">
        <v>923</v>
      </c>
      <c r="AV126" s="32"/>
      <c r="AW126" s="32"/>
      <c r="AX126" s="32"/>
      <c r="AY126" s="32"/>
      <c r="AZ126" s="32"/>
      <c r="BA126" s="32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</row>
    <row r="127" spans="1:67" x14ac:dyDescent="0.2">
      <c r="A127" s="109" t="s">
        <v>87</v>
      </c>
      <c r="B127" s="109" t="s">
        <v>13</v>
      </c>
      <c r="C127" s="14" t="s">
        <v>14</v>
      </c>
      <c r="D127" s="158">
        <v>126</v>
      </c>
      <c r="E127" s="454" t="s">
        <v>53</v>
      </c>
      <c r="F127" s="455" t="s">
        <v>903</v>
      </c>
      <c r="G127" s="471" t="s">
        <v>447</v>
      </c>
      <c r="H127" s="19" t="s">
        <v>14</v>
      </c>
      <c r="I127" s="582" t="s">
        <v>904</v>
      </c>
      <c r="J127" s="20" t="s">
        <v>92</v>
      </c>
      <c r="K127" s="20" t="s">
        <v>905</v>
      </c>
      <c r="L127" s="21" t="s">
        <v>58</v>
      </c>
      <c r="M127" s="21" t="s">
        <v>906</v>
      </c>
      <c r="N127" s="14" t="s">
        <v>23</v>
      </c>
      <c r="O127" s="22" t="s">
        <v>907</v>
      </c>
      <c r="P127" s="22"/>
      <c r="Q127" s="19" t="s">
        <v>788</v>
      </c>
      <c r="R127" s="20" t="s">
        <v>908</v>
      </c>
      <c r="S127" s="109" t="s">
        <v>25</v>
      </c>
      <c r="T127" s="109" t="s">
        <v>909</v>
      </c>
      <c r="U127" s="109"/>
      <c r="V127" s="109"/>
      <c r="W127" s="15"/>
      <c r="X127" s="15"/>
      <c r="Y127" s="23"/>
      <c r="Z127" s="24"/>
      <c r="AA127" s="30"/>
      <c r="AB127" s="51"/>
      <c r="AC127" s="30"/>
      <c r="AD127" s="28"/>
      <c r="AE127" s="28"/>
      <c r="AF127" s="28"/>
      <c r="AG127" s="28"/>
      <c r="AH127" s="30"/>
      <c r="AI127" s="30"/>
      <c r="AJ127" s="30"/>
      <c r="AK127" s="30"/>
      <c r="AL127" s="30"/>
      <c r="AM127" s="30"/>
      <c r="AN127" s="30"/>
      <c r="AO127" s="30"/>
      <c r="AP127" s="107"/>
      <c r="AQ127" s="67"/>
      <c r="AR127" s="131"/>
      <c r="AS127" s="131"/>
      <c r="AT127" s="67" t="s">
        <v>767</v>
      </c>
      <c r="AU127" s="131" t="s">
        <v>930</v>
      </c>
      <c r="AV127" s="67"/>
      <c r="AW127" s="67"/>
      <c r="AX127" s="67"/>
      <c r="AY127" s="67"/>
      <c r="AZ127" s="67"/>
      <c r="BA127" s="67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</row>
    <row r="128" spans="1:67" x14ac:dyDescent="0.2">
      <c r="A128" s="51" t="s">
        <v>87</v>
      </c>
      <c r="B128" s="51" t="s">
        <v>13</v>
      </c>
      <c r="C128" s="27" t="s">
        <v>14</v>
      </c>
      <c r="D128" s="53">
        <v>127</v>
      </c>
      <c r="E128" s="440" t="s">
        <v>44</v>
      </c>
      <c r="F128" s="452" t="s">
        <v>2219</v>
      </c>
      <c r="G128" s="441" t="s">
        <v>129</v>
      </c>
      <c r="H128" s="29" t="s">
        <v>14</v>
      </c>
      <c r="I128" s="573" t="s">
        <v>912</v>
      </c>
      <c r="J128" s="47" t="s">
        <v>92</v>
      </c>
      <c r="K128" s="47" t="s">
        <v>913</v>
      </c>
      <c r="L128" s="48" t="s">
        <v>21</v>
      </c>
      <c r="M128" s="48" t="s">
        <v>914</v>
      </c>
      <c r="N128" s="27" t="s">
        <v>23</v>
      </c>
      <c r="O128" s="40" t="s">
        <v>876</v>
      </c>
      <c r="P128" s="40"/>
      <c r="Q128" s="27" t="s">
        <v>583</v>
      </c>
      <c r="R128" s="48" t="s">
        <v>915</v>
      </c>
      <c r="S128" s="30"/>
      <c r="T128" s="30"/>
      <c r="U128" s="30"/>
      <c r="V128" s="30"/>
      <c r="W128" s="30"/>
      <c r="X128" s="30"/>
      <c r="Y128" s="23"/>
      <c r="Z128" s="24"/>
      <c r="AA128" s="30"/>
      <c r="AB128" s="30"/>
      <c r="AC128" s="30"/>
      <c r="AD128" s="28"/>
      <c r="AE128" s="28"/>
      <c r="AF128" s="28"/>
      <c r="AG128" s="28"/>
      <c r="AH128" s="30"/>
      <c r="AI128" s="30"/>
      <c r="AJ128" s="30"/>
      <c r="AK128" s="30"/>
      <c r="AL128" s="30"/>
      <c r="AM128" s="30"/>
      <c r="AN128" s="30"/>
      <c r="AO128" s="30"/>
      <c r="AP128" s="108"/>
      <c r="AQ128" s="73"/>
      <c r="AR128" s="113"/>
      <c r="AS128" s="113"/>
      <c r="AT128" s="73" t="s">
        <v>767</v>
      </c>
      <c r="AU128" s="113" t="s">
        <v>934</v>
      </c>
      <c r="AV128" s="73"/>
      <c r="AW128" s="73"/>
      <c r="AX128" s="73"/>
      <c r="AY128" s="73"/>
      <c r="AZ128" s="73"/>
      <c r="BA128" s="73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</row>
    <row r="129" spans="1:67" x14ac:dyDescent="0.2">
      <c r="A129" s="51" t="s">
        <v>87</v>
      </c>
      <c r="B129" s="51" t="s">
        <v>2256</v>
      </c>
      <c r="C129" s="27" t="s">
        <v>14</v>
      </c>
      <c r="D129" s="53">
        <v>128</v>
      </c>
      <c r="E129" s="36"/>
      <c r="F129" s="37" t="s">
        <v>29</v>
      </c>
      <c r="G129" s="38"/>
      <c r="H129" s="29" t="s">
        <v>14</v>
      </c>
      <c r="I129" s="573" t="s">
        <v>917</v>
      </c>
      <c r="J129" s="47" t="s">
        <v>92</v>
      </c>
      <c r="K129" s="27" t="s">
        <v>918</v>
      </c>
      <c r="L129" s="48"/>
      <c r="M129" s="48"/>
      <c r="N129" s="27" t="s">
        <v>23</v>
      </c>
      <c r="O129" s="25"/>
      <c r="P129" s="25"/>
      <c r="Q129" s="27"/>
      <c r="R129" s="47"/>
      <c r="S129" s="30"/>
      <c r="T129" s="30"/>
      <c r="U129" s="30"/>
      <c r="V129" s="30"/>
      <c r="W129" s="30"/>
      <c r="X129" s="30"/>
      <c r="Y129" s="23"/>
      <c r="Z129" s="24"/>
      <c r="AA129" s="30"/>
      <c r="AB129" s="30"/>
      <c r="AC129" s="30"/>
      <c r="AD129" s="28"/>
      <c r="AE129" s="28"/>
      <c r="AF129" s="28"/>
      <c r="AG129" s="28"/>
      <c r="AH129" s="30"/>
      <c r="AI129" s="30"/>
      <c r="AJ129" s="30"/>
      <c r="AK129" s="30"/>
      <c r="AL129" s="30"/>
      <c r="AM129" s="30"/>
      <c r="AN129" s="30"/>
      <c r="AO129" s="30"/>
      <c r="AP129" s="31"/>
      <c r="AQ129" s="32"/>
      <c r="AR129" s="49"/>
      <c r="AS129" s="49"/>
      <c r="AT129" s="32" t="s">
        <v>767</v>
      </c>
      <c r="AU129" s="33" t="s">
        <v>940</v>
      </c>
      <c r="AV129" s="32"/>
      <c r="AW129" s="32"/>
      <c r="AX129" s="32"/>
      <c r="AY129" s="32"/>
      <c r="AZ129" s="32"/>
      <c r="BA129" s="32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</row>
    <row r="130" spans="1:67" x14ac:dyDescent="0.2">
      <c r="A130" s="109" t="s">
        <v>87</v>
      </c>
      <c r="B130" s="109" t="s">
        <v>2255</v>
      </c>
      <c r="C130" s="14" t="s">
        <v>14</v>
      </c>
      <c r="D130" s="158">
        <v>129</v>
      </c>
      <c r="E130" s="85" t="s">
        <v>34</v>
      </c>
      <c r="F130" s="43" t="s">
        <v>919</v>
      </c>
      <c r="G130" s="124" t="s">
        <v>920</v>
      </c>
      <c r="H130" s="20" t="s">
        <v>14</v>
      </c>
      <c r="I130" s="582" t="s">
        <v>921</v>
      </c>
      <c r="J130" s="20" t="s">
        <v>92</v>
      </c>
      <c r="K130" s="14" t="s">
        <v>922</v>
      </c>
      <c r="L130" s="21"/>
      <c r="M130" s="21"/>
      <c r="N130" s="14" t="s">
        <v>23</v>
      </c>
      <c r="O130" s="127"/>
      <c r="P130" s="127"/>
      <c r="Q130" s="20"/>
      <c r="R130" s="14"/>
      <c r="S130" s="15"/>
      <c r="T130" s="15"/>
      <c r="U130" s="15"/>
      <c r="V130" s="15"/>
      <c r="W130" s="15"/>
      <c r="X130" s="15"/>
      <c r="Y130" s="23"/>
      <c r="Z130" s="24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1"/>
      <c r="AQ130" s="32"/>
      <c r="AR130" s="33"/>
      <c r="AS130" s="33"/>
      <c r="AT130" s="32" t="s">
        <v>767</v>
      </c>
      <c r="AU130" s="49" t="s">
        <v>946</v>
      </c>
      <c r="AV130" s="49"/>
      <c r="AW130" s="49"/>
      <c r="AX130" s="49"/>
      <c r="AY130" s="49"/>
      <c r="AZ130" s="49"/>
      <c r="BA130" s="49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</row>
    <row r="131" spans="1:67" x14ac:dyDescent="0.2">
      <c r="A131" s="51" t="s">
        <v>87</v>
      </c>
      <c r="B131" s="51" t="s">
        <v>13</v>
      </c>
      <c r="C131" s="27" t="s">
        <v>14</v>
      </c>
      <c r="D131" s="53">
        <v>130</v>
      </c>
      <c r="E131" s="450" t="s">
        <v>44</v>
      </c>
      <c r="F131" s="450" t="s">
        <v>924</v>
      </c>
      <c r="G131" s="450" t="s">
        <v>467</v>
      </c>
      <c r="H131" s="29" t="s">
        <v>14</v>
      </c>
      <c r="I131" s="573" t="s">
        <v>925</v>
      </c>
      <c r="J131" s="47" t="s">
        <v>92</v>
      </c>
      <c r="K131" s="27" t="s">
        <v>926</v>
      </c>
      <c r="L131" s="25" t="s">
        <v>58</v>
      </c>
      <c r="M131" s="48" t="s">
        <v>927</v>
      </c>
      <c r="N131" s="27" t="s">
        <v>23</v>
      </c>
      <c r="O131" s="495" t="s">
        <v>928</v>
      </c>
      <c r="P131" s="495"/>
      <c r="Q131" s="47"/>
      <c r="R131" s="47"/>
      <c r="S131" s="30" t="s">
        <v>25</v>
      </c>
      <c r="T131" s="30" t="s">
        <v>929</v>
      </c>
      <c r="U131" s="30"/>
      <c r="V131" s="30"/>
      <c r="W131" s="30"/>
      <c r="X131" s="30"/>
      <c r="Y131" s="23"/>
      <c r="Z131" s="24"/>
      <c r="AA131" s="30"/>
      <c r="AB131" s="30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91"/>
      <c r="AQ131" s="49"/>
      <c r="AR131" s="33"/>
      <c r="AS131" s="49"/>
      <c r="AT131" s="32" t="s">
        <v>767</v>
      </c>
      <c r="AU131" s="49" t="s">
        <v>950</v>
      </c>
      <c r="AV131" s="49"/>
      <c r="AW131" s="49"/>
      <c r="AX131" s="49"/>
      <c r="AY131" s="49"/>
      <c r="AZ131" s="49"/>
      <c r="BA131" s="49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</row>
    <row r="132" spans="1:67" x14ac:dyDescent="0.2">
      <c r="A132" s="51" t="s">
        <v>87</v>
      </c>
      <c r="B132" s="51" t="s">
        <v>2255</v>
      </c>
      <c r="C132" s="27" t="s">
        <v>14</v>
      </c>
      <c r="D132" s="35">
        <v>131</v>
      </c>
      <c r="E132" s="89" t="s">
        <v>44</v>
      </c>
      <c r="F132" s="119" t="s">
        <v>931</v>
      </c>
      <c r="G132" s="45" t="s">
        <v>519</v>
      </c>
      <c r="H132" s="29" t="s">
        <v>14</v>
      </c>
      <c r="I132" s="576" t="s">
        <v>932</v>
      </c>
      <c r="J132" s="47" t="s">
        <v>92</v>
      </c>
      <c r="K132" s="27" t="s">
        <v>933</v>
      </c>
      <c r="L132" s="25"/>
      <c r="M132" s="48"/>
      <c r="N132" s="30" t="s">
        <v>23</v>
      </c>
      <c r="O132" s="159"/>
      <c r="P132" s="159"/>
      <c r="Q132" s="27"/>
      <c r="R132" s="27"/>
      <c r="S132" s="30"/>
      <c r="T132" s="30"/>
      <c r="U132" s="30"/>
      <c r="V132" s="30"/>
      <c r="W132" s="30"/>
      <c r="X132" s="30"/>
      <c r="Y132" s="23"/>
      <c r="Z132" s="24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23"/>
      <c r="AQ132" s="30"/>
      <c r="AR132" s="51"/>
      <c r="AS132" s="51"/>
      <c r="AT132" s="30" t="s">
        <v>767</v>
      </c>
      <c r="AU132" s="51" t="s">
        <v>960</v>
      </c>
      <c r="AV132" s="51"/>
      <c r="AW132" s="51"/>
      <c r="AX132" s="51"/>
      <c r="AY132" s="51"/>
      <c r="AZ132" s="51"/>
      <c r="BA132" s="51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</row>
    <row r="133" spans="1:67" x14ac:dyDescent="0.2">
      <c r="A133" s="109" t="s">
        <v>480</v>
      </c>
      <c r="B133" s="109" t="s">
        <v>2255</v>
      </c>
      <c r="C133" s="14" t="s">
        <v>14</v>
      </c>
      <c r="D133" s="158">
        <v>132</v>
      </c>
      <c r="E133" s="129" t="s">
        <v>53</v>
      </c>
      <c r="F133" s="124" t="s">
        <v>935</v>
      </c>
      <c r="G133" s="17" t="s">
        <v>936</v>
      </c>
      <c r="H133" s="19" t="s">
        <v>14</v>
      </c>
      <c r="I133" s="582" t="s">
        <v>937</v>
      </c>
      <c r="J133" s="20" t="s">
        <v>92</v>
      </c>
      <c r="K133" s="14" t="s">
        <v>938</v>
      </c>
      <c r="L133" s="22"/>
      <c r="M133" s="21"/>
      <c r="N133" s="15" t="s">
        <v>23</v>
      </c>
      <c r="O133" s="15" t="s">
        <v>939</v>
      </c>
      <c r="P133" s="15"/>
      <c r="Q133" s="125"/>
      <c r="R133" s="27"/>
      <c r="S133" s="15"/>
      <c r="T133" s="15"/>
      <c r="U133" s="15"/>
      <c r="V133" s="15"/>
      <c r="W133" s="15"/>
      <c r="X133" s="15"/>
      <c r="Y133" s="23"/>
      <c r="Z133" s="24"/>
      <c r="AA133" s="30"/>
      <c r="AB133" s="30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160"/>
      <c r="AQ133" s="51"/>
      <c r="AR133" s="51"/>
      <c r="AS133" s="51"/>
      <c r="AT133" s="30" t="s">
        <v>767</v>
      </c>
      <c r="AU133" s="51" t="s">
        <v>968</v>
      </c>
      <c r="AV133" s="30"/>
      <c r="AW133" s="30"/>
      <c r="AX133" s="30"/>
      <c r="AY133" s="30"/>
      <c r="AZ133" s="30"/>
      <c r="BA133" s="30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</row>
    <row r="134" spans="1:67" x14ac:dyDescent="0.2">
      <c r="A134" s="51" t="s">
        <v>620</v>
      </c>
      <c r="B134" s="51" t="s">
        <v>13</v>
      </c>
      <c r="C134" s="27" t="s">
        <v>14</v>
      </c>
      <c r="D134" s="53">
        <v>133</v>
      </c>
      <c r="E134" s="456" t="s">
        <v>44</v>
      </c>
      <c r="F134" s="441" t="s">
        <v>941</v>
      </c>
      <c r="G134" s="440" t="s">
        <v>206</v>
      </c>
      <c r="H134" s="29" t="s">
        <v>14</v>
      </c>
      <c r="I134" s="573" t="s">
        <v>942</v>
      </c>
      <c r="J134" s="47" t="s">
        <v>92</v>
      </c>
      <c r="K134" s="47" t="s">
        <v>943</v>
      </c>
      <c r="L134" s="25" t="s">
        <v>21</v>
      </c>
      <c r="M134" s="48" t="s">
        <v>944</v>
      </c>
      <c r="N134" s="30" t="s">
        <v>23</v>
      </c>
      <c r="O134" s="30" t="s">
        <v>945</v>
      </c>
      <c r="P134" s="30"/>
      <c r="Q134" s="27"/>
      <c r="R134" s="27"/>
      <c r="S134" s="30"/>
      <c r="T134" s="30"/>
      <c r="U134" s="30"/>
      <c r="V134" s="30"/>
      <c r="W134" s="30"/>
      <c r="X134" s="30"/>
      <c r="Y134" s="23"/>
      <c r="Z134" s="24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23"/>
      <c r="AQ134" s="30"/>
      <c r="AR134" s="51"/>
      <c r="AS134" s="51"/>
      <c r="AT134" s="30" t="s">
        <v>767</v>
      </c>
      <c r="AU134" s="51" t="s">
        <v>974</v>
      </c>
      <c r="AV134" s="30"/>
      <c r="AW134" s="30"/>
      <c r="AX134" s="30"/>
      <c r="AY134" s="30"/>
      <c r="AZ134" s="30"/>
      <c r="BA134" s="30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</row>
    <row r="135" spans="1:67" x14ac:dyDescent="0.2">
      <c r="A135" s="47" t="s">
        <v>620</v>
      </c>
      <c r="B135" s="51" t="s">
        <v>2256</v>
      </c>
      <c r="C135" s="27" t="s">
        <v>14</v>
      </c>
      <c r="D135" s="53">
        <v>134</v>
      </c>
      <c r="E135" s="470"/>
      <c r="F135" s="427" t="s">
        <v>29</v>
      </c>
      <c r="G135" s="428"/>
      <c r="H135" s="29" t="s">
        <v>14</v>
      </c>
      <c r="I135" s="576" t="s">
        <v>949</v>
      </c>
      <c r="J135" s="47" t="s">
        <v>92</v>
      </c>
      <c r="K135" s="27"/>
      <c r="L135" s="25" t="s">
        <v>21</v>
      </c>
      <c r="M135" s="48" t="s">
        <v>688</v>
      </c>
      <c r="N135" s="30" t="s">
        <v>23</v>
      </c>
      <c r="O135" s="41"/>
      <c r="P135" s="41" t="s">
        <v>2252</v>
      </c>
      <c r="Q135" s="27"/>
      <c r="R135" s="27"/>
      <c r="S135" s="51"/>
      <c r="T135" s="51"/>
      <c r="U135" s="51"/>
      <c r="V135" s="51"/>
      <c r="W135" s="30"/>
      <c r="X135" s="30"/>
      <c r="Y135" s="23"/>
      <c r="Z135" s="24"/>
      <c r="AA135" s="30"/>
      <c r="AB135" s="51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23"/>
      <c r="AQ135" s="30"/>
      <c r="AR135" s="51"/>
      <c r="AS135" s="51"/>
      <c r="AT135" s="30" t="s">
        <v>767</v>
      </c>
      <c r="AU135" s="51" t="s">
        <v>981</v>
      </c>
      <c r="AV135" s="30"/>
      <c r="AW135" s="30"/>
      <c r="AX135" s="30"/>
      <c r="AY135" s="30"/>
      <c r="AZ135" s="30"/>
      <c r="BA135" s="30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</row>
    <row r="136" spans="1:67" x14ac:dyDescent="0.2">
      <c r="A136" s="51" t="s">
        <v>620</v>
      </c>
      <c r="B136" s="51" t="s">
        <v>2255</v>
      </c>
      <c r="C136" s="27" t="s">
        <v>14</v>
      </c>
      <c r="D136" s="35">
        <v>135</v>
      </c>
      <c r="E136" s="89" t="s">
        <v>53</v>
      </c>
      <c r="F136" s="119" t="s">
        <v>951</v>
      </c>
      <c r="G136" s="45" t="s">
        <v>501</v>
      </c>
      <c r="H136" s="29" t="s">
        <v>14</v>
      </c>
      <c r="I136" s="573" t="s">
        <v>952</v>
      </c>
      <c r="J136" s="47" t="s">
        <v>92</v>
      </c>
      <c r="K136" s="47" t="s">
        <v>953</v>
      </c>
      <c r="L136" s="25"/>
      <c r="M136" s="48"/>
      <c r="N136" s="27" t="s">
        <v>23</v>
      </c>
      <c r="O136" s="25" t="s">
        <v>954</v>
      </c>
      <c r="P136" s="25"/>
      <c r="Q136" s="29"/>
      <c r="R136" s="47"/>
      <c r="S136" s="51"/>
      <c r="T136" s="51"/>
      <c r="U136" s="51"/>
      <c r="V136" s="51"/>
      <c r="W136" s="30"/>
      <c r="X136" s="30"/>
      <c r="Y136" s="23"/>
      <c r="Z136" s="24"/>
      <c r="AA136" s="30"/>
      <c r="AB136" s="51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161"/>
      <c r="AQ136" s="162"/>
      <c r="AR136" s="163"/>
      <c r="AS136" s="163"/>
      <c r="AT136" s="162" t="s">
        <v>767</v>
      </c>
      <c r="AU136" s="163" t="s">
        <v>987</v>
      </c>
      <c r="AV136" s="162"/>
      <c r="AW136" s="162"/>
      <c r="AX136" s="162"/>
      <c r="AY136" s="162"/>
      <c r="AZ136" s="162"/>
      <c r="BA136" s="162"/>
      <c r="BB136" s="164"/>
      <c r="BC136" s="164"/>
      <c r="BD136" s="164"/>
      <c r="BE136" s="164"/>
      <c r="BF136" s="164"/>
      <c r="BG136" s="164"/>
      <c r="BH136" s="164"/>
      <c r="BI136" s="164"/>
      <c r="BJ136" s="164"/>
      <c r="BK136" s="164"/>
      <c r="BL136" s="164"/>
      <c r="BM136" s="164"/>
      <c r="BN136" s="164"/>
      <c r="BO136" s="164"/>
    </row>
    <row r="137" spans="1:67" x14ac:dyDescent="0.2">
      <c r="A137" s="51" t="s">
        <v>620</v>
      </c>
      <c r="B137" s="51" t="s">
        <v>2256</v>
      </c>
      <c r="C137" s="30" t="s">
        <v>14</v>
      </c>
      <c r="D137" s="114">
        <v>136</v>
      </c>
      <c r="E137" s="481"/>
      <c r="F137" s="482" t="s">
        <v>29</v>
      </c>
      <c r="G137" s="428"/>
      <c r="H137" s="29" t="s">
        <v>14</v>
      </c>
      <c r="I137" s="573" t="s">
        <v>957</v>
      </c>
      <c r="J137" s="47" t="s">
        <v>92</v>
      </c>
      <c r="K137" s="47" t="s">
        <v>958</v>
      </c>
      <c r="L137" s="27" t="s">
        <v>58</v>
      </c>
      <c r="M137" s="48" t="s">
        <v>959</v>
      </c>
      <c r="N137" s="27" t="s">
        <v>23</v>
      </c>
      <c r="O137" s="39"/>
      <c r="P137" s="39"/>
      <c r="Q137" s="27"/>
      <c r="R137" s="27"/>
      <c r="S137" s="30"/>
      <c r="T137" s="30"/>
      <c r="U137" s="30"/>
      <c r="V137" s="30"/>
      <c r="W137" s="30"/>
      <c r="X137" s="30"/>
      <c r="Y137" s="23"/>
      <c r="Z137" s="24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166"/>
      <c r="AQ137" s="15"/>
      <c r="AR137" s="109"/>
      <c r="AS137" s="109"/>
      <c r="AT137" s="15" t="s">
        <v>767</v>
      </c>
      <c r="AU137" s="109" t="s">
        <v>995</v>
      </c>
      <c r="AV137" s="15"/>
      <c r="AW137" s="15"/>
      <c r="AX137" s="15"/>
      <c r="AY137" s="15"/>
      <c r="AZ137" s="15"/>
      <c r="BA137" s="15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</row>
    <row r="138" spans="1:67" x14ac:dyDescent="0.2">
      <c r="A138" s="51" t="s">
        <v>620</v>
      </c>
      <c r="B138" s="51" t="s">
        <v>13</v>
      </c>
      <c r="C138" s="27" t="s">
        <v>14</v>
      </c>
      <c r="D138" s="114">
        <v>137</v>
      </c>
      <c r="E138" s="456" t="s">
        <v>445</v>
      </c>
      <c r="F138" s="457" t="s">
        <v>2229</v>
      </c>
      <c r="G138" s="440" t="s">
        <v>2230</v>
      </c>
      <c r="H138" s="29" t="s">
        <v>14</v>
      </c>
      <c r="I138" s="573" t="s">
        <v>963</v>
      </c>
      <c r="J138" s="47" t="s">
        <v>92</v>
      </c>
      <c r="K138" s="47" t="s">
        <v>964</v>
      </c>
      <c r="L138" s="27" t="s">
        <v>21</v>
      </c>
      <c r="M138" s="48" t="s">
        <v>965</v>
      </c>
      <c r="N138" s="30" t="s">
        <v>23</v>
      </c>
      <c r="O138" s="30" t="s">
        <v>966</v>
      </c>
      <c r="P138" s="30"/>
      <c r="Q138" s="27" t="s">
        <v>583</v>
      </c>
      <c r="R138" s="48" t="s">
        <v>967</v>
      </c>
      <c r="S138" s="51"/>
      <c r="T138" s="51"/>
      <c r="U138" s="51"/>
      <c r="V138" s="51"/>
      <c r="W138" s="30"/>
      <c r="X138" s="30"/>
      <c r="Y138" s="23"/>
      <c r="Z138" s="24"/>
      <c r="AA138" s="30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160"/>
      <c r="AQ138" s="51"/>
      <c r="AR138" s="51"/>
      <c r="AS138" s="51"/>
      <c r="AT138" s="30" t="s">
        <v>767</v>
      </c>
      <c r="AU138" s="51" t="s">
        <v>1005</v>
      </c>
      <c r="AV138" s="30"/>
      <c r="AW138" s="30"/>
      <c r="AX138" s="30"/>
      <c r="AY138" s="30"/>
      <c r="AZ138" s="30"/>
      <c r="BA138" s="30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</row>
    <row r="139" spans="1:67" x14ac:dyDescent="0.2">
      <c r="A139" s="47" t="s">
        <v>620</v>
      </c>
      <c r="B139" s="51" t="s">
        <v>2255</v>
      </c>
      <c r="C139" s="27" t="s">
        <v>14</v>
      </c>
      <c r="D139" s="114">
        <v>138</v>
      </c>
      <c r="E139" s="89" t="s">
        <v>44</v>
      </c>
      <c r="F139" s="119" t="s">
        <v>969</v>
      </c>
      <c r="G139" s="55" t="s">
        <v>962</v>
      </c>
      <c r="H139" s="29" t="s">
        <v>14</v>
      </c>
      <c r="I139" s="573" t="s">
        <v>970</v>
      </c>
      <c r="J139" s="47" t="s">
        <v>92</v>
      </c>
      <c r="K139" s="47" t="s">
        <v>971</v>
      </c>
      <c r="L139" s="25" t="s">
        <v>58</v>
      </c>
      <c r="M139" s="48" t="s">
        <v>972</v>
      </c>
      <c r="N139" s="30" t="s">
        <v>23</v>
      </c>
      <c r="O139" s="30" t="s">
        <v>973</v>
      </c>
      <c r="P139" s="30"/>
      <c r="Q139" s="47"/>
      <c r="R139" s="27"/>
      <c r="S139" s="30"/>
      <c r="T139" s="30"/>
      <c r="U139" s="30"/>
      <c r="V139" s="30"/>
      <c r="W139" s="30"/>
      <c r="X139" s="30"/>
      <c r="Y139" s="23"/>
      <c r="Z139" s="24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23"/>
      <c r="AQ139" s="30"/>
      <c r="AR139" s="51"/>
      <c r="AS139" s="51"/>
      <c r="AT139" s="30" t="s">
        <v>767</v>
      </c>
      <c r="AU139" s="51" t="s">
        <v>1010</v>
      </c>
      <c r="AV139" s="51"/>
      <c r="AW139" s="51"/>
      <c r="AX139" s="51"/>
      <c r="AY139" s="51"/>
      <c r="AZ139" s="51"/>
      <c r="BA139" s="51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</row>
    <row r="140" spans="1:67" x14ac:dyDescent="0.2">
      <c r="A140" s="47" t="s">
        <v>273</v>
      </c>
      <c r="B140" s="51" t="s">
        <v>13</v>
      </c>
      <c r="C140" s="30" t="s">
        <v>14</v>
      </c>
      <c r="D140" s="114">
        <v>139</v>
      </c>
      <c r="E140" s="456" t="s">
        <v>287</v>
      </c>
      <c r="F140" s="457" t="s">
        <v>975</v>
      </c>
      <c r="G140" s="439" t="s">
        <v>976</v>
      </c>
      <c r="H140" s="29" t="s">
        <v>14</v>
      </c>
      <c r="I140" s="573" t="s">
        <v>977</v>
      </c>
      <c r="J140" s="47" t="s">
        <v>92</v>
      </c>
      <c r="K140" s="47" t="s">
        <v>978</v>
      </c>
      <c r="L140" s="27" t="s">
        <v>58</v>
      </c>
      <c r="M140" s="48" t="s">
        <v>979</v>
      </c>
      <c r="N140" s="30" t="s">
        <v>23</v>
      </c>
      <c r="O140" s="30" t="s">
        <v>980</v>
      </c>
      <c r="P140" s="30"/>
      <c r="Q140" s="39"/>
      <c r="R140" s="39"/>
      <c r="S140" s="39"/>
      <c r="T140" s="39"/>
      <c r="U140" s="39"/>
      <c r="V140" s="30"/>
      <c r="W140" s="30"/>
      <c r="X140" s="30"/>
      <c r="Y140" s="23"/>
      <c r="Z140" s="24"/>
      <c r="AA140" s="30"/>
      <c r="AB140" s="30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160"/>
      <c r="AQ140" s="51"/>
      <c r="AR140" s="51"/>
      <c r="AS140" s="51"/>
      <c r="AT140" s="30" t="s">
        <v>767</v>
      </c>
      <c r="AU140" s="51" t="s">
        <v>1017</v>
      </c>
      <c r="AV140" s="51"/>
      <c r="AW140" s="51"/>
      <c r="AX140" s="51"/>
      <c r="AY140" s="51"/>
      <c r="AZ140" s="51"/>
      <c r="BA140" s="51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</row>
    <row r="141" spans="1:67" x14ac:dyDescent="0.2">
      <c r="A141" s="51" t="s">
        <v>273</v>
      </c>
      <c r="B141" s="51" t="s">
        <v>13</v>
      </c>
      <c r="C141" s="27" t="s">
        <v>14</v>
      </c>
      <c r="D141" s="53">
        <v>140</v>
      </c>
      <c r="E141" s="438" t="s">
        <v>287</v>
      </c>
      <c r="F141" s="441" t="s">
        <v>982</v>
      </c>
      <c r="G141" s="440" t="s">
        <v>225</v>
      </c>
      <c r="H141" s="29" t="s">
        <v>14</v>
      </c>
      <c r="I141" s="573" t="s">
        <v>983</v>
      </c>
      <c r="J141" s="47" t="s">
        <v>92</v>
      </c>
      <c r="K141" s="47" t="s">
        <v>984</v>
      </c>
      <c r="L141" s="27" t="s">
        <v>58</v>
      </c>
      <c r="M141" s="48" t="s">
        <v>985</v>
      </c>
      <c r="N141" s="30" t="s">
        <v>23</v>
      </c>
      <c r="O141" s="30" t="s">
        <v>986</v>
      </c>
      <c r="P141" s="30"/>
      <c r="Q141" s="2"/>
      <c r="R141" s="2"/>
      <c r="S141" s="2"/>
      <c r="T141" s="2"/>
      <c r="U141" s="2"/>
      <c r="V141" s="30"/>
      <c r="W141" s="30"/>
      <c r="X141" s="30"/>
      <c r="Y141" s="23"/>
      <c r="Z141" s="24"/>
      <c r="AA141" s="30"/>
      <c r="AB141" s="30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160"/>
      <c r="AQ141" s="51"/>
      <c r="AR141" s="51"/>
      <c r="AS141" s="51"/>
      <c r="AT141" s="30" t="s">
        <v>767</v>
      </c>
      <c r="AU141" s="51" t="s">
        <v>1022</v>
      </c>
      <c r="AV141" s="30"/>
      <c r="AW141" s="30"/>
      <c r="AX141" s="30"/>
      <c r="AY141" s="30"/>
      <c r="AZ141" s="30"/>
      <c r="BA141" s="30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</row>
    <row r="142" spans="1:67" x14ac:dyDescent="0.2">
      <c r="A142" s="2" t="s">
        <v>273</v>
      </c>
      <c r="B142" s="93" t="s">
        <v>13</v>
      </c>
      <c r="C142" s="2" t="s">
        <v>14</v>
      </c>
      <c r="D142" s="165">
        <v>141</v>
      </c>
      <c r="E142" s="439" t="s">
        <v>988</v>
      </c>
      <c r="F142" s="439" t="s">
        <v>989</v>
      </c>
      <c r="G142" s="439" t="s">
        <v>990</v>
      </c>
      <c r="H142" s="2" t="s">
        <v>14</v>
      </c>
      <c r="I142" s="573" t="s">
        <v>991</v>
      </c>
      <c r="J142" s="47" t="s">
        <v>92</v>
      </c>
      <c r="K142" s="47" t="s">
        <v>992</v>
      </c>
      <c r="L142" s="25" t="s">
        <v>58</v>
      </c>
      <c r="M142" s="48" t="s">
        <v>993</v>
      </c>
      <c r="N142" s="27" t="s">
        <v>23</v>
      </c>
      <c r="O142" s="25" t="s">
        <v>994</v>
      </c>
      <c r="P142" s="25"/>
      <c r="Q142" s="2"/>
      <c r="R142" s="2"/>
      <c r="S142" s="2"/>
      <c r="T142" s="2"/>
      <c r="U142" s="2"/>
      <c r="V142" s="30"/>
      <c r="W142" s="30"/>
      <c r="X142" s="30"/>
      <c r="Y142" s="23"/>
      <c r="Z142" s="24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23"/>
      <c r="AQ142" s="30"/>
      <c r="AR142" s="51"/>
      <c r="AS142" s="51"/>
      <c r="AT142" s="30" t="s">
        <v>767</v>
      </c>
      <c r="AU142" s="51" t="s">
        <v>1028</v>
      </c>
      <c r="AV142" s="30"/>
      <c r="AW142" s="30"/>
      <c r="AX142" s="30"/>
      <c r="AY142" s="30"/>
      <c r="AZ142" s="30"/>
      <c r="BA142" s="30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</row>
    <row r="143" spans="1:67" x14ac:dyDescent="0.2">
      <c r="A143" s="2" t="s">
        <v>273</v>
      </c>
      <c r="B143" s="51" t="s">
        <v>2255</v>
      </c>
      <c r="C143" s="30" t="s">
        <v>14</v>
      </c>
      <c r="D143" s="114">
        <v>142</v>
      </c>
      <c r="E143" s="472" t="s">
        <v>287</v>
      </c>
      <c r="F143" s="472" t="s">
        <v>996</v>
      </c>
      <c r="G143" s="472" t="s">
        <v>769</v>
      </c>
      <c r="H143" s="27" t="s">
        <v>14</v>
      </c>
      <c r="I143" s="579" t="s">
        <v>997</v>
      </c>
      <c r="J143" s="30" t="s">
        <v>92</v>
      </c>
      <c r="K143" s="24" t="s">
        <v>998</v>
      </c>
      <c r="L143" s="30" t="s">
        <v>21</v>
      </c>
      <c r="M143" s="48" t="s">
        <v>999</v>
      </c>
      <c r="N143" s="2" t="s">
        <v>23</v>
      </c>
      <c r="O143" s="40">
        <v>74106844</v>
      </c>
      <c r="P143" s="40" t="s">
        <v>2251</v>
      </c>
      <c r="Q143" s="41"/>
      <c r="R143" s="41"/>
      <c r="S143" s="41"/>
      <c r="T143" s="41"/>
      <c r="U143" s="41"/>
      <c r="V143" s="41"/>
      <c r="W143" s="30"/>
      <c r="X143" s="30"/>
      <c r="Y143" s="23"/>
      <c r="Z143" s="24"/>
      <c r="AA143" s="30"/>
      <c r="AB143" s="30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167"/>
      <c r="AQ143" s="25"/>
      <c r="AR143" s="105"/>
      <c r="AS143" s="105"/>
      <c r="AT143" s="30" t="s">
        <v>767</v>
      </c>
      <c r="AU143" s="105" t="s">
        <v>1039</v>
      </c>
      <c r="AV143" s="25"/>
      <c r="AW143" s="25"/>
      <c r="AX143" s="25"/>
      <c r="AY143" s="25"/>
      <c r="AZ143" s="25"/>
      <c r="BA143" s="25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</row>
    <row r="144" spans="1:67" x14ac:dyDescent="0.2">
      <c r="A144" s="51" t="s">
        <v>620</v>
      </c>
      <c r="B144" s="51" t="s">
        <v>13</v>
      </c>
      <c r="C144" s="30" t="s">
        <v>14</v>
      </c>
      <c r="D144" s="106">
        <v>143</v>
      </c>
      <c r="E144" s="438" t="s">
        <v>15</v>
      </c>
      <c r="F144" s="441" t="s">
        <v>1000</v>
      </c>
      <c r="G144" s="440" t="s">
        <v>90</v>
      </c>
      <c r="H144" s="29" t="s">
        <v>14</v>
      </c>
      <c r="I144" s="576" t="s">
        <v>1001</v>
      </c>
      <c r="J144" s="47" t="s">
        <v>92</v>
      </c>
      <c r="K144" s="47" t="s">
        <v>1002</v>
      </c>
      <c r="L144" s="25" t="s">
        <v>58</v>
      </c>
      <c r="M144" s="48" t="s">
        <v>1003</v>
      </c>
      <c r="N144" s="29" t="s">
        <v>23</v>
      </c>
      <c r="O144" s="40" t="s">
        <v>1004</v>
      </c>
      <c r="P144" s="40"/>
      <c r="Q144" s="47"/>
      <c r="R144" s="47"/>
      <c r="S144" s="51"/>
      <c r="T144" s="51"/>
      <c r="U144" s="51"/>
      <c r="V144" s="51"/>
      <c r="W144" s="30"/>
      <c r="X144" s="30"/>
      <c r="Y144" s="23"/>
      <c r="Z144" s="24"/>
      <c r="AA144" s="30"/>
      <c r="AB144" s="51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94"/>
      <c r="AT144" s="95" t="s">
        <v>767</v>
      </c>
      <c r="AU144" s="95" t="s">
        <v>1040</v>
      </c>
    </row>
    <row r="145" spans="1:67" x14ac:dyDescent="0.2">
      <c r="A145" s="51" t="s">
        <v>620</v>
      </c>
      <c r="B145" s="51" t="s">
        <v>13</v>
      </c>
      <c r="C145" s="30" t="s">
        <v>14</v>
      </c>
      <c r="D145" s="114">
        <v>144</v>
      </c>
      <c r="E145" s="438" t="s">
        <v>53</v>
      </c>
      <c r="F145" s="441" t="s">
        <v>1006</v>
      </c>
      <c r="G145" s="440" t="s">
        <v>507</v>
      </c>
      <c r="H145" s="24" t="s">
        <v>14</v>
      </c>
      <c r="I145" s="584" t="s">
        <v>1007</v>
      </c>
      <c r="J145" s="51" t="s">
        <v>92</v>
      </c>
      <c r="K145" s="51" t="s">
        <v>1008</v>
      </c>
      <c r="L145" s="25" t="s">
        <v>58</v>
      </c>
      <c r="M145" s="48" t="s">
        <v>1009</v>
      </c>
      <c r="N145" s="29" t="s">
        <v>23</v>
      </c>
      <c r="O145" s="40">
        <v>6543980</v>
      </c>
      <c r="P145" s="40"/>
      <c r="Q145" s="27"/>
      <c r="R145" s="27"/>
      <c r="S145" s="30"/>
      <c r="T145" s="30"/>
      <c r="U145" s="30"/>
      <c r="V145" s="30"/>
      <c r="W145" s="30"/>
      <c r="X145" s="30"/>
      <c r="Y145" s="23"/>
      <c r="Z145" s="24"/>
      <c r="AA145" s="30"/>
      <c r="AB145" s="30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167"/>
      <c r="AQ145" s="25"/>
      <c r="AR145" s="105"/>
      <c r="AS145" s="105"/>
      <c r="AT145" s="30" t="s">
        <v>767</v>
      </c>
      <c r="AU145" s="105" t="s">
        <v>1043</v>
      </c>
      <c r="AV145" s="25"/>
      <c r="AW145" s="25"/>
      <c r="AX145" s="25"/>
      <c r="AY145" s="25"/>
      <c r="AZ145" s="25"/>
      <c r="BA145" s="25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</row>
    <row r="146" spans="1:67" x14ac:dyDescent="0.2">
      <c r="A146" s="51" t="s">
        <v>697</v>
      </c>
      <c r="B146" s="51" t="s">
        <v>13</v>
      </c>
      <c r="C146" s="30" t="s">
        <v>14</v>
      </c>
      <c r="D146" s="106">
        <v>145</v>
      </c>
      <c r="E146" s="438" t="s">
        <v>15</v>
      </c>
      <c r="F146" s="441" t="s">
        <v>2235</v>
      </c>
      <c r="G146" s="440" t="s">
        <v>2206</v>
      </c>
      <c r="H146" s="2" t="s">
        <v>14</v>
      </c>
      <c r="I146" s="585" t="s">
        <v>1013</v>
      </c>
      <c r="J146" s="47" t="s">
        <v>92</v>
      </c>
      <c r="K146" s="47" t="s">
        <v>1014</v>
      </c>
      <c r="L146" s="48" t="s">
        <v>58</v>
      </c>
      <c r="M146" s="48" t="s">
        <v>1015</v>
      </c>
      <c r="N146" s="29" t="s">
        <v>23</v>
      </c>
      <c r="O146" s="51" t="s">
        <v>1016</v>
      </c>
      <c r="P146" s="465" t="s">
        <v>2234</v>
      </c>
      <c r="Q146" s="47"/>
      <c r="R146" s="47"/>
      <c r="S146" s="51"/>
      <c r="T146" s="51"/>
      <c r="U146" s="51"/>
      <c r="V146" s="51"/>
      <c r="W146" s="30"/>
      <c r="X146" s="30"/>
      <c r="Y146" s="23"/>
      <c r="Z146" s="24"/>
      <c r="AA146" s="30"/>
      <c r="AB146" s="51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167"/>
      <c r="AQ146" s="25"/>
      <c r="AR146" s="105"/>
      <c r="AS146" s="105"/>
      <c r="AT146" s="30" t="s">
        <v>767</v>
      </c>
      <c r="AU146" s="105" t="s">
        <v>1044</v>
      </c>
      <c r="AV146" s="25"/>
      <c r="AW146" s="25"/>
      <c r="AX146" s="25"/>
      <c r="AY146" s="25"/>
      <c r="AZ146" s="25"/>
      <c r="BA146" s="25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</row>
    <row r="147" spans="1:67" x14ac:dyDescent="0.2">
      <c r="A147" s="2" t="s">
        <v>697</v>
      </c>
      <c r="B147" s="93" t="s">
        <v>13</v>
      </c>
      <c r="C147" s="2" t="s">
        <v>14</v>
      </c>
      <c r="D147" s="165">
        <v>146</v>
      </c>
      <c r="E147" s="439" t="s">
        <v>445</v>
      </c>
      <c r="F147" s="451" t="s">
        <v>1018</v>
      </c>
      <c r="G147" s="439" t="s">
        <v>129</v>
      </c>
      <c r="H147" s="29" t="s">
        <v>14</v>
      </c>
      <c r="I147" s="585" t="s">
        <v>1019</v>
      </c>
      <c r="J147" s="47" t="s">
        <v>92</v>
      </c>
      <c r="K147" s="2" t="s">
        <v>1020</v>
      </c>
      <c r="L147" s="25" t="s">
        <v>21</v>
      </c>
      <c r="M147" s="48">
        <v>439346</v>
      </c>
      <c r="N147" s="29" t="s">
        <v>23</v>
      </c>
      <c r="O147" s="25" t="s">
        <v>1021</v>
      </c>
      <c r="P147" s="25"/>
      <c r="Q147" s="47"/>
      <c r="R147" s="47"/>
      <c r="S147" s="51"/>
      <c r="T147" s="51"/>
      <c r="U147" s="51"/>
      <c r="V147" s="51"/>
      <c r="W147" s="30"/>
      <c r="X147" s="30"/>
      <c r="Y147" s="23"/>
      <c r="Z147" s="24"/>
      <c r="AA147" s="30"/>
      <c r="AB147" s="51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167"/>
      <c r="AQ147" s="25"/>
      <c r="AR147" s="105"/>
      <c r="AS147" s="105"/>
      <c r="AT147" s="30" t="s">
        <v>767</v>
      </c>
      <c r="AU147" s="105" t="s">
        <v>1045</v>
      </c>
      <c r="AV147" s="25"/>
      <c r="AW147" s="25"/>
      <c r="AX147" s="25"/>
      <c r="AY147" s="25"/>
      <c r="AZ147" s="25"/>
      <c r="BA147" s="25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</row>
    <row r="148" spans="1:67" x14ac:dyDescent="0.2">
      <c r="A148" s="51" t="s">
        <v>87</v>
      </c>
      <c r="B148" s="51" t="s">
        <v>13</v>
      </c>
      <c r="C148" s="30" t="s">
        <v>14</v>
      </c>
      <c r="D148" s="106">
        <v>147</v>
      </c>
      <c r="E148" s="424" t="s">
        <v>34</v>
      </c>
      <c r="F148" s="435" t="s">
        <v>2202</v>
      </c>
      <c r="G148" s="436" t="s">
        <v>378</v>
      </c>
      <c r="H148" s="24" t="s">
        <v>14</v>
      </c>
      <c r="I148" s="576" t="s">
        <v>1024</v>
      </c>
      <c r="J148" s="47" t="s">
        <v>92</v>
      </c>
      <c r="K148" s="47" t="s">
        <v>1025</v>
      </c>
      <c r="L148" s="25" t="s">
        <v>58</v>
      </c>
      <c r="M148" s="48" t="s">
        <v>1026</v>
      </c>
      <c r="N148" s="29" t="s">
        <v>23</v>
      </c>
      <c r="O148" s="25" t="s">
        <v>2203</v>
      </c>
      <c r="P148" s="25"/>
      <c r="Q148" s="27"/>
      <c r="R148" s="27"/>
      <c r="S148" s="30"/>
      <c r="T148" s="30"/>
      <c r="U148" s="30"/>
      <c r="V148" s="30"/>
      <c r="W148" s="30"/>
      <c r="X148" s="44"/>
      <c r="Y148" s="23"/>
      <c r="Z148" s="24"/>
      <c r="AA148" s="30"/>
      <c r="AB148" s="30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167"/>
      <c r="AQ148" s="25"/>
      <c r="AR148" s="105"/>
      <c r="AS148" s="105"/>
      <c r="AT148" s="30" t="s">
        <v>767</v>
      </c>
      <c r="AU148" s="105" t="s">
        <v>1046</v>
      </c>
      <c r="AV148" s="25"/>
      <c r="AW148" s="25"/>
      <c r="AX148" s="25"/>
      <c r="AY148" s="25"/>
      <c r="AZ148" s="25"/>
      <c r="BA148" s="25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</row>
    <row r="149" spans="1:67" x14ac:dyDescent="0.2">
      <c r="A149" s="51" t="s">
        <v>620</v>
      </c>
      <c r="B149" s="52" t="s">
        <v>2255</v>
      </c>
      <c r="C149" s="30" t="s">
        <v>14</v>
      </c>
      <c r="D149" s="103">
        <v>148</v>
      </c>
      <c r="E149" s="92" t="s">
        <v>265</v>
      </c>
      <c r="F149" s="46" t="s">
        <v>1029</v>
      </c>
      <c r="G149" s="55" t="s">
        <v>447</v>
      </c>
      <c r="H149" s="2" t="s">
        <v>14</v>
      </c>
      <c r="I149" s="586" t="s">
        <v>1030</v>
      </c>
      <c r="J149" s="51" t="s">
        <v>1031</v>
      </c>
      <c r="K149" s="48" t="s">
        <v>1032</v>
      </c>
      <c r="L149" s="48" t="s">
        <v>58</v>
      </c>
      <c r="M149" s="48" t="s">
        <v>1033</v>
      </c>
      <c r="N149" s="29" t="s">
        <v>23</v>
      </c>
      <c r="O149" s="127">
        <v>6543978</v>
      </c>
      <c r="P149" s="40"/>
      <c r="Q149" s="48"/>
      <c r="R149" s="48"/>
      <c r="S149" s="25"/>
      <c r="T149" s="25"/>
      <c r="U149" s="25"/>
      <c r="V149" s="25"/>
      <c r="W149" s="30"/>
      <c r="X149" s="30"/>
      <c r="Y149" s="23"/>
      <c r="Z149" s="24"/>
      <c r="AA149" s="30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167"/>
      <c r="AQ149" s="25"/>
      <c r="AR149" s="105"/>
      <c r="AS149" s="105"/>
      <c r="AT149" s="30"/>
      <c r="AU149" s="105"/>
      <c r="AV149" s="25"/>
      <c r="AW149" s="25"/>
      <c r="AX149" s="25"/>
      <c r="AY149" s="25"/>
      <c r="AZ149" s="25"/>
      <c r="BA149" s="25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</row>
    <row r="150" spans="1:67" x14ac:dyDescent="0.2">
      <c r="A150" s="109" t="s">
        <v>620</v>
      </c>
      <c r="B150" s="83" t="s">
        <v>2255</v>
      </c>
      <c r="C150" s="15" t="s">
        <v>14</v>
      </c>
      <c r="D150" s="168">
        <v>149</v>
      </c>
      <c r="E150" s="79" t="s">
        <v>549</v>
      </c>
      <c r="F150" s="46" t="s">
        <v>1034</v>
      </c>
      <c r="G150" s="88" t="s">
        <v>1035</v>
      </c>
      <c r="H150" s="29" t="s">
        <v>14</v>
      </c>
      <c r="I150" s="586" t="s">
        <v>1036</v>
      </c>
      <c r="J150" s="20" t="s">
        <v>92</v>
      </c>
      <c r="K150" s="21" t="s">
        <v>1037</v>
      </c>
      <c r="L150" s="22" t="s">
        <v>58</v>
      </c>
      <c r="M150" s="21" t="s">
        <v>1038</v>
      </c>
      <c r="N150" s="19" t="s">
        <v>23</v>
      </c>
      <c r="O150" s="127">
        <v>54621272</v>
      </c>
      <c r="P150" s="127"/>
      <c r="Q150" s="494"/>
      <c r="R150" s="21"/>
      <c r="S150" s="22"/>
      <c r="T150" s="22"/>
      <c r="U150" s="22"/>
      <c r="V150" s="22"/>
      <c r="W150" s="15"/>
      <c r="X150" s="15"/>
      <c r="Y150" s="23"/>
      <c r="Z150" s="24"/>
      <c r="AA150" s="30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167"/>
      <c r="AQ150" s="25"/>
      <c r="AR150" s="105"/>
      <c r="AS150" s="105"/>
      <c r="AT150" s="30" t="s">
        <v>767</v>
      </c>
      <c r="AU150" s="105" t="s">
        <v>1048</v>
      </c>
      <c r="AV150" s="25"/>
      <c r="AW150" s="25"/>
      <c r="AX150" s="25"/>
      <c r="AY150" s="25"/>
      <c r="AZ150" s="25"/>
      <c r="BA150" s="25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</row>
    <row r="151" spans="1:67" x14ac:dyDescent="0.2">
      <c r="A151" s="47" t="s">
        <v>620</v>
      </c>
      <c r="B151" s="47" t="s">
        <v>2256</v>
      </c>
      <c r="C151" s="47" t="s">
        <v>14</v>
      </c>
      <c r="D151" s="53">
        <v>150</v>
      </c>
      <c r="E151" s="36"/>
      <c r="F151" s="37" t="s">
        <v>29</v>
      </c>
      <c r="G151" s="38"/>
      <c r="H151" s="47" t="s">
        <v>14</v>
      </c>
      <c r="I151" s="573"/>
      <c r="J151" s="47"/>
      <c r="K151" s="47"/>
      <c r="L151" s="47"/>
      <c r="M151" s="47"/>
      <c r="N151" s="491" t="s">
        <v>23</v>
      </c>
      <c r="O151" s="494" t="s">
        <v>1047</v>
      </c>
      <c r="P151" s="47"/>
      <c r="Q151" s="47"/>
      <c r="R151" s="47"/>
      <c r="S151" s="47"/>
      <c r="T151" s="47"/>
      <c r="U151" s="47"/>
      <c r="V151" s="47"/>
      <c r="W151" s="47"/>
      <c r="X151" s="47"/>
      <c r="Y151" s="65"/>
      <c r="Z151" s="47"/>
      <c r="AA151" s="47"/>
      <c r="AB151" s="47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167"/>
      <c r="AQ151" s="25"/>
      <c r="AR151" s="105"/>
      <c r="AS151" s="105"/>
      <c r="AT151" s="30" t="s">
        <v>767</v>
      </c>
      <c r="AU151" s="105" t="s">
        <v>1049</v>
      </c>
      <c r="AV151" s="25"/>
      <c r="AW151" s="25"/>
      <c r="AX151" s="25"/>
      <c r="AY151" s="25"/>
      <c r="AZ151" s="25"/>
      <c r="BA151" s="25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</row>
    <row r="152" spans="1:67" x14ac:dyDescent="0.2">
      <c r="A152" s="109" t="s">
        <v>620</v>
      </c>
      <c r="B152" s="83" t="s">
        <v>2256</v>
      </c>
      <c r="C152" s="15" t="s">
        <v>14</v>
      </c>
      <c r="D152" s="168">
        <v>151</v>
      </c>
      <c r="E152" s="144"/>
      <c r="F152" s="145" t="s">
        <v>29</v>
      </c>
      <c r="G152" s="37"/>
      <c r="H152" s="2" t="s">
        <v>14</v>
      </c>
      <c r="I152" s="586" t="s">
        <v>1041</v>
      </c>
      <c r="J152" s="20" t="s">
        <v>92</v>
      </c>
      <c r="K152" s="21" t="s">
        <v>1042</v>
      </c>
      <c r="L152" s="21"/>
      <c r="M152" s="22"/>
      <c r="N152" s="491" t="s">
        <v>23</v>
      </c>
      <c r="O152" s="494" t="s">
        <v>1050</v>
      </c>
      <c r="P152" s="109"/>
      <c r="Q152" s="494"/>
      <c r="R152" s="21"/>
      <c r="S152" s="22"/>
      <c r="T152" s="22"/>
      <c r="U152" s="22"/>
      <c r="V152" s="22"/>
      <c r="W152" s="15"/>
      <c r="X152" s="15"/>
      <c r="Y152" s="23"/>
      <c r="Z152" s="24"/>
      <c r="AA152" s="30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169"/>
      <c r="AQ152" s="77"/>
      <c r="AR152" s="170"/>
      <c r="AS152" s="170"/>
      <c r="AT152" s="73" t="s">
        <v>767</v>
      </c>
      <c r="AU152" s="171" t="s">
        <v>1051</v>
      </c>
      <c r="AV152" s="77"/>
      <c r="AW152" s="77"/>
      <c r="AX152" s="77"/>
      <c r="AY152" s="77"/>
      <c r="AZ152" s="77"/>
      <c r="BA152" s="77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</row>
    <row r="153" spans="1:67" x14ac:dyDescent="0.2">
      <c r="A153" s="51"/>
      <c r="B153" s="52" t="s">
        <v>2256</v>
      </c>
      <c r="C153" s="30"/>
      <c r="D153" s="78">
        <v>152</v>
      </c>
      <c r="E153" s="144"/>
      <c r="F153" s="145" t="s">
        <v>29</v>
      </c>
      <c r="G153" s="37"/>
      <c r="H153" s="29" t="s">
        <v>14</v>
      </c>
      <c r="I153" s="572" t="s">
        <v>1135</v>
      </c>
      <c r="J153" s="51"/>
      <c r="K153" s="48"/>
      <c r="L153" s="25"/>
      <c r="M153" s="25"/>
      <c r="N153" s="492" t="s">
        <v>23</v>
      </c>
      <c r="O153" s="51" t="s">
        <v>1123</v>
      </c>
      <c r="P153" s="25" t="s">
        <v>2265</v>
      </c>
      <c r="Q153" s="48"/>
      <c r="R153" s="48"/>
      <c r="S153" s="25"/>
      <c r="T153" s="25"/>
      <c r="U153" s="25"/>
      <c r="V153" s="25"/>
      <c r="W153" s="30"/>
      <c r="X153" s="30"/>
      <c r="Y153" s="23"/>
      <c r="Z153" s="24"/>
      <c r="AA153" s="30"/>
      <c r="AB153" s="25"/>
      <c r="AC153" s="25"/>
      <c r="AD153" s="25"/>
      <c r="AE153" s="25"/>
      <c r="AF153" s="25"/>
      <c r="AG153" s="105"/>
      <c r="AH153" s="105"/>
      <c r="AI153" s="52"/>
      <c r="AJ153" s="52"/>
      <c r="AK153" s="52"/>
      <c r="AL153" s="52"/>
      <c r="AM153" s="52"/>
      <c r="AN153" s="52"/>
      <c r="AO153" s="52"/>
      <c r="AP153" s="172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</row>
    <row r="154" spans="1:67" x14ac:dyDescent="0.2">
      <c r="A154" s="52"/>
      <c r="B154" s="52" t="s">
        <v>2256</v>
      </c>
      <c r="C154" s="30"/>
      <c r="D154" s="103">
        <v>153</v>
      </c>
      <c r="E154" s="144"/>
      <c r="F154" s="145" t="s">
        <v>29</v>
      </c>
      <c r="G154" s="37"/>
      <c r="H154" s="24" t="s">
        <v>14</v>
      </c>
      <c r="I154" s="572" t="s">
        <v>1136</v>
      </c>
      <c r="J154" s="47"/>
      <c r="K154" s="48"/>
      <c r="L154" s="25"/>
      <c r="M154" s="48"/>
      <c r="N154" s="29" t="s">
        <v>23</v>
      </c>
      <c r="O154" s="25"/>
      <c r="P154" s="25" t="s">
        <v>2265</v>
      </c>
      <c r="Q154" s="48"/>
      <c r="R154" s="48"/>
      <c r="S154" s="25"/>
      <c r="T154" s="25"/>
      <c r="U154" s="25"/>
      <c r="V154" s="25"/>
      <c r="W154" s="30"/>
      <c r="X154" s="30"/>
      <c r="Y154" s="23"/>
      <c r="Z154" s="24"/>
      <c r="AA154" s="30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82"/>
      <c r="AQ154" s="80"/>
      <c r="AR154" s="173"/>
      <c r="AS154" s="173"/>
      <c r="AT154" s="32" t="s">
        <v>767</v>
      </c>
      <c r="AU154" s="102" t="s">
        <v>1052</v>
      </c>
      <c r="AV154" s="80"/>
      <c r="AW154" s="80"/>
      <c r="AX154" s="80"/>
      <c r="AY154" s="80"/>
      <c r="AZ154" s="80"/>
      <c r="BA154" s="80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</row>
    <row r="155" spans="1:67" x14ac:dyDescent="0.2">
      <c r="A155" s="52"/>
      <c r="B155" s="52"/>
      <c r="C155" s="30"/>
      <c r="D155" s="103"/>
      <c r="E155" s="144"/>
      <c r="F155" s="145"/>
      <c r="G155" s="37"/>
      <c r="H155" s="24"/>
      <c r="I155" s="572" t="s">
        <v>1138</v>
      </c>
      <c r="J155" s="47"/>
      <c r="K155" s="48"/>
      <c r="L155" s="25"/>
      <c r="M155" s="48"/>
      <c r="N155" s="29"/>
      <c r="O155" s="25"/>
      <c r="P155" s="25" t="s">
        <v>2265</v>
      </c>
      <c r="Q155" s="48"/>
      <c r="R155" s="48"/>
      <c r="S155" s="25"/>
      <c r="T155" s="25"/>
      <c r="U155" s="25"/>
      <c r="V155" s="25"/>
      <c r="W155" s="30"/>
      <c r="X155" s="30"/>
      <c r="Y155" s="23"/>
      <c r="Z155" s="24"/>
      <c r="AA155" s="30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82"/>
      <c r="AQ155" s="80"/>
      <c r="AR155" s="173"/>
      <c r="AS155" s="173"/>
      <c r="AT155" s="32"/>
      <c r="AU155" s="102"/>
      <c r="AV155" s="80"/>
      <c r="AW155" s="80"/>
      <c r="AX155" s="80"/>
      <c r="AY155" s="80"/>
      <c r="AZ155" s="80"/>
      <c r="BA155" s="80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</row>
    <row r="156" spans="1:67" hidden="1" x14ac:dyDescent="0.2">
      <c r="A156" s="52"/>
      <c r="B156" s="52"/>
      <c r="C156" s="30"/>
      <c r="D156" s="103"/>
      <c r="E156" s="144"/>
      <c r="F156" s="145"/>
      <c r="G156" s="37"/>
      <c r="H156" s="24"/>
      <c r="I156" s="573" t="s">
        <v>1141</v>
      </c>
      <c r="J156" s="47"/>
      <c r="K156" s="48"/>
      <c r="L156" s="25"/>
      <c r="M156" s="48"/>
      <c r="N156" s="29"/>
      <c r="O156" s="25"/>
      <c r="P156" s="25"/>
      <c r="Q156" s="48"/>
      <c r="R156" s="48"/>
      <c r="S156" s="25"/>
      <c r="T156" s="25"/>
      <c r="U156" s="25"/>
      <c r="V156" s="25"/>
      <c r="W156" s="30"/>
      <c r="X156" s="30"/>
      <c r="Y156" s="23"/>
      <c r="Z156" s="24"/>
      <c r="AA156" s="30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82"/>
      <c r="AQ156" s="80"/>
      <c r="AR156" s="173"/>
      <c r="AS156" s="173"/>
      <c r="AT156" s="32"/>
      <c r="AU156" s="102"/>
      <c r="AV156" s="80"/>
      <c r="AW156" s="80"/>
      <c r="AX156" s="80"/>
      <c r="AY156" s="80"/>
      <c r="AZ156" s="80"/>
      <c r="BA156" s="80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</row>
    <row r="157" spans="1:67" hidden="1" x14ac:dyDescent="0.2">
      <c r="A157" s="52"/>
      <c r="B157" s="52"/>
      <c r="C157" s="30"/>
      <c r="D157" s="103"/>
      <c r="E157" s="144"/>
      <c r="F157" s="145"/>
      <c r="G157" s="37"/>
      <c r="H157" s="24"/>
      <c r="I157" s="47" t="s">
        <v>1143</v>
      </c>
      <c r="J157" s="47"/>
      <c r="K157" s="48"/>
      <c r="L157" s="25"/>
      <c r="M157" s="48"/>
      <c r="N157" s="29"/>
      <c r="O157" s="25"/>
      <c r="P157" s="25"/>
      <c r="Q157" s="48"/>
      <c r="R157" s="48"/>
      <c r="S157" s="25"/>
      <c r="T157" s="25"/>
      <c r="U157" s="25"/>
      <c r="V157" s="25"/>
      <c r="W157" s="30"/>
      <c r="X157" s="30"/>
      <c r="Y157" s="23"/>
      <c r="Z157" s="24"/>
      <c r="AA157" s="30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82"/>
      <c r="AQ157" s="80"/>
      <c r="AR157" s="173"/>
      <c r="AS157" s="173"/>
      <c r="AT157" s="32"/>
      <c r="AU157" s="102"/>
      <c r="AV157" s="80"/>
      <c r="AW157" s="80"/>
      <c r="AX157" s="80"/>
      <c r="AY157" s="80"/>
      <c r="AZ157" s="80"/>
      <c r="BA157" s="80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</row>
    <row r="158" spans="1:67" x14ac:dyDescent="0.2">
      <c r="A158" s="52"/>
      <c r="B158" s="52"/>
      <c r="C158" s="30"/>
      <c r="D158" s="103"/>
      <c r="E158" s="144"/>
      <c r="F158" s="145"/>
      <c r="G158" s="37"/>
      <c r="H158" s="24"/>
      <c r="I158" s="583" t="s">
        <v>1140</v>
      </c>
      <c r="J158" s="47"/>
      <c r="K158" s="48"/>
      <c r="L158" s="25"/>
      <c r="M158" s="48"/>
      <c r="N158" s="29"/>
      <c r="O158" s="25" t="s">
        <v>2259</v>
      </c>
      <c r="P158" s="25" t="s">
        <v>2258</v>
      </c>
      <c r="Q158" s="48"/>
      <c r="R158" s="48"/>
      <c r="S158" s="25"/>
      <c r="T158" s="25"/>
      <c r="U158" s="25"/>
      <c r="V158" s="25"/>
      <c r="W158" s="30"/>
      <c r="X158" s="30"/>
      <c r="Y158" s="23"/>
      <c r="Z158" s="24"/>
      <c r="AA158" s="30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82"/>
      <c r="AQ158" s="80"/>
      <c r="AR158" s="173"/>
      <c r="AS158" s="173"/>
      <c r="AT158" s="32"/>
      <c r="AU158" s="102"/>
      <c r="AV158" s="80"/>
      <c r="AW158" s="80"/>
      <c r="AX158" s="80"/>
      <c r="AY158" s="80"/>
      <c r="AZ158" s="80"/>
      <c r="BA158" s="80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</row>
    <row r="159" spans="1:67" x14ac:dyDescent="0.2">
      <c r="A159" s="52"/>
      <c r="B159" s="52"/>
      <c r="C159" s="30"/>
      <c r="D159" s="103"/>
      <c r="E159" s="144"/>
      <c r="F159" s="145"/>
      <c r="G159" s="37"/>
      <c r="H159" s="24"/>
      <c r="I159" s="583" t="s">
        <v>1144</v>
      </c>
      <c r="J159" s="47"/>
      <c r="K159" s="48"/>
      <c r="L159" s="25"/>
      <c r="M159" s="48"/>
      <c r="N159" s="29"/>
      <c r="O159" s="25"/>
      <c r="P159" s="25"/>
      <c r="Q159" s="48"/>
      <c r="R159" s="48"/>
      <c r="S159" s="25"/>
      <c r="T159" s="25"/>
      <c r="U159" s="25"/>
      <c r="V159" s="25"/>
      <c r="W159" s="30"/>
      <c r="X159" s="30"/>
      <c r="Y159" s="23"/>
      <c r="Z159" s="24"/>
      <c r="AA159" s="30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82"/>
      <c r="AQ159" s="80"/>
      <c r="AR159" s="173"/>
      <c r="AS159" s="173"/>
      <c r="AT159" s="32"/>
      <c r="AU159" s="102"/>
      <c r="AV159" s="80"/>
      <c r="AW159" s="80"/>
      <c r="AX159" s="80"/>
      <c r="AY159" s="80"/>
      <c r="AZ159" s="80"/>
      <c r="BA159" s="80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</row>
    <row r="160" spans="1:67" x14ac:dyDescent="0.2">
      <c r="A160" s="52"/>
      <c r="B160" s="52"/>
      <c r="C160" s="30"/>
      <c r="D160" s="103"/>
      <c r="E160" s="144"/>
      <c r="F160" s="145"/>
      <c r="G160" s="37"/>
      <c r="H160" s="24"/>
      <c r="I160" s="574" t="s">
        <v>1142</v>
      </c>
      <c r="J160" s="47"/>
      <c r="K160" s="48"/>
      <c r="L160" s="25"/>
      <c r="M160" s="48"/>
      <c r="N160" s="29"/>
      <c r="O160" s="25"/>
      <c r="P160" s="25" t="s">
        <v>2265</v>
      </c>
      <c r="Q160" s="48"/>
      <c r="R160" s="48"/>
      <c r="S160" s="25"/>
      <c r="T160" s="25"/>
      <c r="U160" s="25"/>
      <c r="V160" s="25"/>
      <c r="W160" s="30"/>
      <c r="X160" s="30"/>
      <c r="Y160" s="23"/>
      <c r="Z160" s="24"/>
      <c r="AA160" s="30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82"/>
      <c r="AQ160" s="80"/>
      <c r="AR160" s="173"/>
      <c r="AS160" s="173"/>
      <c r="AT160" s="32"/>
      <c r="AU160" s="102"/>
      <c r="AV160" s="80"/>
      <c r="AW160" s="80"/>
      <c r="AX160" s="80"/>
      <c r="AY160" s="80"/>
      <c r="AZ160" s="80"/>
      <c r="BA160" s="80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</row>
    <row r="161" spans="1:67" x14ac:dyDescent="0.2">
      <c r="A161" s="52"/>
      <c r="B161" s="52"/>
      <c r="C161" s="30"/>
      <c r="D161" s="103"/>
      <c r="E161" s="144"/>
      <c r="F161" s="145"/>
      <c r="G161" s="37"/>
      <c r="H161" s="24"/>
      <c r="I161" s="574" t="s">
        <v>1139</v>
      </c>
      <c r="J161" s="47"/>
      <c r="K161" s="48"/>
      <c r="L161" s="25"/>
      <c r="M161" s="48"/>
      <c r="N161" s="29"/>
      <c r="O161" s="25"/>
      <c r="P161" s="25" t="s">
        <v>2265</v>
      </c>
      <c r="Q161" s="48"/>
      <c r="R161" s="48"/>
      <c r="S161" s="25"/>
      <c r="T161" s="25"/>
      <c r="U161" s="25"/>
      <c r="V161" s="25"/>
      <c r="W161" s="30"/>
      <c r="X161" s="30"/>
      <c r="Y161" s="23"/>
      <c r="Z161" s="24"/>
      <c r="AA161" s="30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82"/>
      <c r="AQ161" s="80"/>
      <c r="AR161" s="173"/>
      <c r="AS161" s="173"/>
      <c r="AT161" s="32"/>
      <c r="AU161" s="102"/>
      <c r="AV161" s="80"/>
      <c r="AW161" s="80"/>
      <c r="AX161" s="80"/>
      <c r="AY161" s="80"/>
      <c r="AZ161" s="80"/>
      <c r="BA161" s="80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</row>
    <row r="162" spans="1:67" x14ac:dyDescent="0.2">
      <c r="A162" s="52"/>
      <c r="B162" s="52" t="s">
        <v>2256</v>
      </c>
      <c r="C162" s="30"/>
      <c r="D162" s="103">
        <v>154</v>
      </c>
      <c r="E162" s="144"/>
      <c r="F162" s="145" t="s">
        <v>29</v>
      </c>
      <c r="G162" s="37"/>
      <c r="H162" s="2" t="s">
        <v>14</v>
      </c>
      <c r="I162" s="583" t="s">
        <v>1129</v>
      </c>
      <c r="J162" s="47"/>
      <c r="K162" s="48"/>
      <c r="L162" s="48"/>
      <c r="M162" s="48"/>
      <c r="N162" s="29" t="s">
        <v>23</v>
      </c>
      <c r="O162" s="25"/>
      <c r="P162" s="25"/>
      <c r="Q162" s="48"/>
      <c r="R162" s="48"/>
      <c r="S162" s="25"/>
      <c r="T162" s="25"/>
      <c r="U162" s="25"/>
      <c r="V162" s="25"/>
      <c r="W162" s="30"/>
      <c r="X162" s="30"/>
      <c r="Y162" s="23"/>
      <c r="Z162" s="24"/>
      <c r="AA162" s="30"/>
      <c r="AB162" s="25"/>
      <c r="AC162" s="25"/>
      <c r="AD162" s="25"/>
      <c r="AE162" s="25"/>
      <c r="AF162" s="25"/>
      <c r="AG162" s="105"/>
      <c r="AH162" s="105"/>
      <c r="AI162" s="25"/>
      <c r="AJ162" s="105"/>
      <c r="AK162" s="25"/>
      <c r="AL162" s="25"/>
      <c r="AM162" s="25"/>
      <c r="AN162" s="25"/>
      <c r="AO162" s="25"/>
      <c r="AP162" s="82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</row>
    <row r="163" spans="1:67" x14ac:dyDescent="0.2">
      <c r="A163" s="52" t="s">
        <v>12</v>
      </c>
      <c r="B163" s="52" t="s">
        <v>2225</v>
      </c>
      <c r="C163" s="52" t="s">
        <v>168</v>
      </c>
      <c r="D163" s="103" t="s">
        <v>2241</v>
      </c>
      <c r="E163" s="144" t="s">
        <v>34</v>
      </c>
      <c r="F163" s="145" t="s">
        <v>244</v>
      </c>
      <c r="G163" s="37" t="s">
        <v>245</v>
      </c>
      <c r="H163" s="29" t="s">
        <v>168</v>
      </c>
      <c r="I163" s="48" t="s">
        <v>212</v>
      </c>
      <c r="J163" s="47" t="s">
        <v>119</v>
      </c>
      <c r="K163" s="48" t="s">
        <v>213</v>
      </c>
      <c r="L163" s="25" t="s">
        <v>21</v>
      </c>
      <c r="M163" s="25" t="s">
        <v>214</v>
      </c>
      <c r="N163" s="30" t="s">
        <v>23</v>
      </c>
      <c r="O163" s="25" t="s">
        <v>249</v>
      </c>
      <c r="P163" s="25"/>
      <c r="Q163" s="48"/>
      <c r="R163" s="48"/>
      <c r="S163" s="25"/>
      <c r="T163" s="25"/>
      <c r="U163" s="25"/>
      <c r="V163" s="25"/>
      <c r="W163" s="30"/>
      <c r="X163" s="30"/>
      <c r="Y163" s="442"/>
      <c r="Z163" s="493"/>
      <c r="AA163" s="442"/>
      <c r="AB163" s="495"/>
    </row>
    <row r="164" spans="1:67" x14ac:dyDescent="0.2">
      <c r="A164" s="52" t="s">
        <v>12</v>
      </c>
      <c r="B164" s="52" t="s">
        <v>2225</v>
      </c>
      <c r="C164" s="52" t="s">
        <v>168</v>
      </c>
      <c r="D164" s="103" t="s">
        <v>2241</v>
      </c>
      <c r="E164" s="144" t="s">
        <v>34</v>
      </c>
      <c r="F164" s="145" t="s">
        <v>165</v>
      </c>
      <c r="G164" s="37" t="s">
        <v>157</v>
      </c>
      <c r="H164" s="475" t="s">
        <v>168</v>
      </c>
      <c r="I164" s="476" t="s">
        <v>169</v>
      </c>
      <c r="J164" s="47" t="s">
        <v>119</v>
      </c>
      <c r="K164" s="48" t="s">
        <v>170</v>
      </c>
      <c r="L164" s="25" t="s">
        <v>21</v>
      </c>
      <c r="M164" s="25" t="s">
        <v>171</v>
      </c>
      <c r="N164" s="30" t="s">
        <v>2239</v>
      </c>
      <c r="O164" s="475">
        <v>6542862</v>
      </c>
      <c r="P164" s="29"/>
      <c r="Q164" s="41"/>
      <c r="R164" s="48"/>
      <c r="S164" s="25"/>
      <c r="T164" s="25"/>
      <c r="U164" s="25"/>
      <c r="V164" s="25"/>
      <c r="W164" s="30"/>
      <c r="X164" s="30"/>
      <c r="Y164" s="442"/>
      <c r="Z164" s="493"/>
      <c r="AA164" s="442"/>
      <c r="AB164" s="495"/>
    </row>
    <row r="165" spans="1:67" x14ac:dyDescent="0.2">
      <c r="A165" s="47" t="s">
        <v>12</v>
      </c>
      <c r="B165" s="25" t="s">
        <v>2225</v>
      </c>
      <c r="C165" s="25" t="s">
        <v>168</v>
      </c>
      <c r="D165" s="106" t="s">
        <v>2241</v>
      </c>
      <c r="E165" s="144" t="s">
        <v>34</v>
      </c>
      <c r="F165" s="145" t="s">
        <v>231</v>
      </c>
      <c r="G165" s="37" t="s">
        <v>605</v>
      </c>
      <c r="H165" s="27" t="s">
        <v>168</v>
      </c>
      <c r="I165" s="48" t="s">
        <v>260</v>
      </c>
      <c r="J165" s="48" t="s">
        <v>119</v>
      </c>
      <c r="K165" s="48" t="s">
        <v>261</v>
      </c>
      <c r="L165" s="25" t="s">
        <v>21</v>
      </c>
      <c r="M165" s="25" t="s">
        <v>262</v>
      </c>
      <c r="N165" s="25" t="s">
        <v>23</v>
      </c>
      <c r="O165" s="25" t="s">
        <v>235</v>
      </c>
      <c r="P165" s="25"/>
      <c r="Q165" s="25"/>
      <c r="R165" s="25"/>
      <c r="S165" s="25"/>
      <c r="T165" s="25"/>
      <c r="U165" s="25"/>
      <c r="V165" s="25"/>
      <c r="W165" s="25"/>
      <c r="X165" s="25"/>
      <c r="Y165" s="495"/>
      <c r="Z165" s="495"/>
      <c r="AA165" s="495"/>
      <c r="AB165" s="495"/>
    </row>
    <row r="166" spans="1:67" x14ac:dyDescent="0.2">
      <c r="A166" s="492" t="s">
        <v>480</v>
      </c>
      <c r="B166" s="487" t="s">
        <v>2225</v>
      </c>
      <c r="C166" s="488" t="s">
        <v>23</v>
      </c>
      <c r="D166" s="501"/>
      <c r="E166" s="55" t="s">
        <v>445</v>
      </c>
      <c r="F166" s="55" t="s">
        <v>1053</v>
      </c>
      <c r="G166" s="55" t="s">
        <v>1054</v>
      </c>
      <c r="H166" s="497"/>
      <c r="I166" s="41"/>
      <c r="J166" s="487"/>
      <c r="K166" s="494"/>
      <c r="L166" s="495"/>
      <c r="M166" s="495"/>
      <c r="N166" s="491" t="s">
        <v>23</v>
      </c>
      <c r="O166" s="512" t="s">
        <v>351</v>
      </c>
      <c r="P166" s="496"/>
      <c r="Q166" s="495"/>
      <c r="R166" s="495"/>
      <c r="S166" s="495"/>
      <c r="T166" s="495"/>
      <c r="U166" s="495"/>
      <c r="V166" s="495"/>
      <c r="W166" s="495"/>
      <c r="X166" s="495"/>
      <c r="Y166" s="442"/>
      <c r="Z166" s="442"/>
      <c r="AA166" s="442"/>
      <c r="AB166" s="495"/>
    </row>
    <row r="167" spans="1:67" x14ac:dyDescent="0.2">
      <c r="A167" s="549"/>
      <c r="B167" s="549"/>
      <c r="C167" s="550"/>
      <c r="D167" s="551"/>
      <c r="E167" s="552"/>
      <c r="F167" s="553"/>
      <c r="G167" s="554"/>
      <c r="H167" s="555"/>
      <c r="I167" s="556"/>
      <c r="J167" s="557"/>
      <c r="K167" s="558"/>
      <c r="L167" s="558"/>
      <c r="M167" s="558"/>
      <c r="N167" s="559"/>
      <c r="O167" s="560"/>
      <c r="P167" s="560"/>
      <c r="Q167" s="558"/>
      <c r="R167" s="558"/>
      <c r="S167" s="560"/>
      <c r="T167" s="560"/>
      <c r="U167" s="560"/>
      <c r="V167" s="560"/>
      <c r="W167" s="550"/>
      <c r="X167" s="550"/>
      <c r="Y167" s="442"/>
      <c r="Z167" s="493"/>
      <c r="AA167" s="442"/>
      <c r="AB167" s="495"/>
      <c r="AC167" s="495"/>
      <c r="AD167" s="495"/>
      <c r="AE167" s="495"/>
      <c r="AF167" s="495"/>
      <c r="AG167" s="546"/>
      <c r="AH167" s="546"/>
      <c r="AI167" s="495"/>
      <c r="AJ167" s="546"/>
      <c r="AK167" s="495"/>
      <c r="AL167" s="495"/>
      <c r="AM167" s="495"/>
      <c r="AN167" s="495"/>
      <c r="AO167" s="495"/>
      <c r="AP167" s="495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</row>
    <row r="168" spans="1:67" x14ac:dyDescent="0.2">
      <c r="A168" s="487" t="s">
        <v>87</v>
      </c>
      <c r="B168" s="495"/>
      <c r="C168" s="495" t="s">
        <v>583</v>
      </c>
      <c r="D168" s="501" t="s">
        <v>1055</v>
      </c>
      <c r="E168" s="525" t="s">
        <v>577</v>
      </c>
      <c r="F168" s="527" t="s">
        <v>795</v>
      </c>
      <c r="G168" s="525" t="s">
        <v>72</v>
      </c>
      <c r="H168" s="488" t="s">
        <v>583</v>
      </c>
      <c r="I168" s="101" t="s">
        <v>1050</v>
      </c>
      <c r="J168" s="494"/>
      <c r="K168" s="494"/>
      <c r="L168" s="495"/>
      <c r="M168" s="495"/>
      <c r="N168" s="494"/>
      <c r="O168" s="495"/>
      <c r="P168" s="495"/>
      <c r="Q168" s="495"/>
      <c r="R168" s="495"/>
      <c r="S168" s="495"/>
      <c r="T168" s="495"/>
      <c r="U168" s="495"/>
      <c r="V168" s="495"/>
      <c r="W168" s="495"/>
      <c r="X168" s="495"/>
      <c r="Y168" s="495"/>
      <c r="Z168" s="495"/>
      <c r="AA168" s="495"/>
      <c r="AB168" s="495"/>
    </row>
    <row r="169" spans="1:67" ht="15" x14ac:dyDescent="0.2">
      <c r="A169" s="511" t="s">
        <v>87</v>
      </c>
      <c r="B169" s="495" t="s">
        <v>13</v>
      </c>
      <c r="C169" s="495" t="s">
        <v>583</v>
      </c>
      <c r="D169" s="489" t="s">
        <v>1073</v>
      </c>
      <c r="E169" s="547" t="s">
        <v>88</v>
      </c>
      <c r="F169" s="490" t="s">
        <v>1074</v>
      </c>
      <c r="G169" s="547" t="s">
        <v>1075</v>
      </c>
      <c r="H169" s="488" t="s">
        <v>583</v>
      </c>
      <c r="I169" s="48" t="s">
        <v>1076</v>
      </c>
      <c r="J169" s="511"/>
      <c r="K169" s="511"/>
      <c r="L169" s="511"/>
      <c r="M169" s="511"/>
      <c r="N169" s="529"/>
      <c r="O169" s="513"/>
      <c r="P169" s="513"/>
      <c r="Q169" s="513"/>
      <c r="R169" s="513"/>
      <c r="S169" s="513"/>
      <c r="T169" s="513"/>
      <c r="U169" s="513"/>
      <c r="V169" s="513"/>
      <c r="W169" s="511"/>
      <c r="X169" s="511"/>
      <c r="Y169" s="511"/>
      <c r="Z169" s="511"/>
      <c r="AA169" s="511"/>
      <c r="AB169" s="519"/>
    </row>
    <row r="170" spans="1:67" ht="15" x14ac:dyDescent="0.2">
      <c r="A170" s="511" t="s">
        <v>87</v>
      </c>
      <c r="B170" s="495" t="s">
        <v>13</v>
      </c>
      <c r="C170" s="495" t="s">
        <v>583</v>
      </c>
      <c r="D170" s="489" t="s">
        <v>1077</v>
      </c>
      <c r="E170" s="547" t="s">
        <v>44</v>
      </c>
      <c r="F170" s="490" t="s">
        <v>1078</v>
      </c>
      <c r="G170" s="490" t="s">
        <v>1079</v>
      </c>
      <c r="H170" s="488" t="s">
        <v>583</v>
      </c>
      <c r="I170" s="27" t="s">
        <v>1080</v>
      </c>
      <c r="J170" s="511"/>
      <c r="K170" s="511"/>
      <c r="L170" s="511"/>
      <c r="M170" s="511"/>
      <c r="N170" s="511"/>
      <c r="O170" s="513"/>
      <c r="P170" s="513"/>
      <c r="Q170" s="513"/>
      <c r="R170" s="513"/>
      <c r="S170" s="513"/>
      <c r="T170" s="513"/>
      <c r="U170" s="513"/>
      <c r="V170" s="513"/>
      <c r="W170" s="511"/>
      <c r="X170" s="511"/>
      <c r="Y170" s="511"/>
      <c r="Z170" s="548"/>
      <c r="AA170" s="511"/>
      <c r="AB170" s="519"/>
    </row>
    <row r="171" spans="1:67" ht="15" x14ac:dyDescent="0.2">
      <c r="A171" s="488" t="s">
        <v>87</v>
      </c>
      <c r="B171" s="495"/>
      <c r="C171" s="495" t="s">
        <v>583</v>
      </c>
      <c r="D171" s="489" t="s">
        <v>1081</v>
      </c>
      <c r="E171" s="547" t="s">
        <v>34</v>
      </c>
      <c r="F171" s="490" t="s">
        <v>446</v>
      </c>
      <c r="G171" s="490" t="s">
        <v>487</v>
      </c>
      <c r="H171" s="488" t="s">
        <v>583</v>
      </c>
      <c r="I171" s="27" t="s">
        <v>843</v>
      </c>
      <c r="J171" s="511"/>
      <c r="K171" s="511"/>
      <c r="L171" s="511"/>
      <c r="M171" s="511"/>
      <c r="N171" s="511"/>
      <c r="O171" s="513"/>
      <c r="P171" s="513"/>
      <c r="Q171" s="513"/>
      <c r="R171" s="513"/>
      <c r="S171" s="513"/>
      <c r="T171" s="513"/>
      <c r="U171" s="513"/>
      <c r="V171" s="513"/>
      <c r="W171" s="511"/>
      <c r="X171" s="511"/>
      <c r="Y171" s="511"/>
      <c r="Z171" s="548"/>
      <c r="AA171" s="511"/>
      <c r="AB171" s="519"/>
    </row>
    <row r="172" spans="1:67" ht="15" x14ac:dyDescent="0.2">
      <c r="A172" s="14" t="s">
        <v>87</v>
      </c>
      <c r="B172" s="22" t="s">
        <v>13</v>
      </c>
      <c r="C172" s="22" t="s">
        <v>583</v>
      </c>
      <c r="D172" s="16" t="s">
        <v>1082</v>
      </c>
      <c r="E172" s="18" t="s">
        <v>34</v>
      </c>
      <c r="F172" s="17" t="s">
        <v>1083</v>
      </c>
      <c r="G172" s="18" t="s">
        <v>289</v>
      </c>
      <c r="H172" s="14" t="s">
        <v>583</v>
      </c>
      <c r="I172" s="14" t="s">
        <v>1084</v>
      </c>
      <c r="J172" s="143"/>
      <c r="K172" s="143"/>
      <c r="L172" s="143"/>
      <c r="M172" s="143"/>
      <c r="N172" s="143"/>
      <c r="O172" s="498"/>
      <c r="P172" s="498"/>
      <c r="Q172" s="498"/>
      <c r="R172" s="498"/>
      <c r="S172" s="498"/>
      <c r="T172" s="498"/>
      <c r="U172" s="498"/>
      <c r="V172" s="498"/>
      <c r="W172" s="143"/>
      <c r="X172" s="143"/>
      <c r="Y172" s="511"/>
      <c r="Z172" s="548"/>
      <c r="AA172" s="511"/>
      <c r="AB172" s="519"/>
      <c r="AC172" s="174"/>
      <c r="AD172" s="174"/>
      <c r="AE172" s="174"/>
      <c r="AF172" s="174"/>
      <c r="AG172" s="175"/>
      <c r="AH172" s="175"/>
      <c r="AI172" s="174"/>
      <c r="AJ172" s="175"/>
      <c r="AK172" s="174"/>
      <c r="AL172" s="174"/>
      <c r="AM172" s="174"/>
      <c r="AN172" s="174"/>
      <c r="AO172" s="174"/>
      <c r="AP172" s="176"/>
      <c r="AQ172" s="177"/>
      <c r="AR172" s="177"/>
      <c r="AS172" s="177"/>
      <c r="AT172" s="177"/>
      <c r="AU172" s="177"/>
      <c r="AV172" s="177"/>
      <c r="AW172" s="177"/>
      <c r="AX172" s="177"/>
      <c r="AY172" s="177"/>
      <c r="AZ172" s="177"/>
      <c r="BA172" s="177"/>
      <c r="BB172" s="177"/>
      <c r="BC172" s="177"/>
      <c r="BD172" s="177"/>
    </row>
    <row r="173" spans="1:67" ht="15" x14ac:dyDescent="0.2">
      <c r="A173" s="27" t="s">
        <v>87</v>
      </c>
      <c r="B173" s="25"/>
      <c r="C173" s="25" t="s">
        <v>583</v>
      </c>
      <c r="D173" s="35" t="s">
        <v>1085</v>
      </c>
      <c r="E173" s="50" t="s">
        <v>34</v>
      </c>
      <c r="F173" s="45" t="s">
        <v>851</v>
      </c>
      <c r="G173" s="50" t="s">
        <v>559</v>
      </c>
      <c r="H173" s="27" t="s">
        <v>583</v>
      </c>
      <c r="I173" s="48" t="s">
        <v>855</v>
      </c>
      <c r="J173" s="26"/>
      <c r="K173" s="26"/>
      <c r="L173" s="26"/>
      <c r="M173" s="26"/>
      <c r="N173" s="26"/>
      <c r="O173" s="28"/>
      <c r="P173" s="28"/>
      <c r="Q173" s="28"/>
      <c r="R173" s="28"/>
      <c r="S173" s="28"/>
      <c r="T173" s="28"/>
      <c r="U173" s="28"/>
      <c r="V173" s="28"/>
      <c r="W173" s="26"/>
      <c r="X173" s="26"/>
      <c r="Y173" s="186"/>
      <c r="Z173" s="539"/>
      <c r="AA173" s="542"/>
      <c r="AB173" s="543"/>
      <c r="AC173" s="80"/>
      <c r="AD173" s="80"/>
      <c r="AE173" s="80"/>
      <c r="AF173" s="80"/>
      <c r="AG173" s="173"/>
      <c r="AH173" s="173"/>
      <c r="AI173" s="80"/>
      <c r="AJ173" s="80"/>
      <c r="AK173" s="80"/>
      <c r="AL173" s="80"/>
      <c r="AM173" s="80"/>
      <c r="AN173" s="80"/>
      <c r="AO173" s="80"/>
      <c r="AP173" s="80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</row>
    <row r="174" spans="1:67" ht="15" x14ac:dyDescent="0.2">
      <c r="A174" s="26" t="s">
        <v>87</v>
      </c>
      <c r="B174" s="25" t="s">
        <v>13</v>
      </c>
      <c r="C174" s="26" t="s">
        <v>583</v>
      </c>
      <c r="D174" s="189" t="s">
        <v>1086</v>
      </c>
      <c r="E174" s="178" t="s">
        <v>34</v>
      </c>
      <c r="F174" s="179" t="s">
        <v>1087</v>
      </c>
      <c r="G174" s="178" t="s">
        <v>281</v>
      </c>
      <c r="H174" s="27" t="s">
        <v>583</v>
      </c>
      <c r="I174" s="26" t="s">
        <v>1088</v>
      </c>
      <c r="J174" s="26"/>
      <c r="K174" s="26"/>
      <c r="L174" s="26"/>
      <c r="M174" s="26"/>
      <c r="N174" s="26"/>
      <c r="O174" s="28"/>
      <c r="P174" s="28"/>
      <c r="Q174" s="28"/>
      <c r="R174" s="28"/>
      <c r="S174" s="28"/>
      <c r="T174" s="28"/>
      <c r="U174" s="28"/>
      <c r="V174" s="28"/>
      <c r="W174" s="26"/>
      <c r="X174" s="26"/>
      <c r="Y174" s="186"/>
      <c r="Z174" s="539"/>
      <c r="AA174" s="542"/>
      <c r="AB174" s="543"/>
      <c r="AC174" s="80"/>
      <c r="AD174" s="80"/>
      <c r="AE174" s="80"/>
      <c r="AF174" s="80"/>
      <c r="AG174" s="102"/>
      <c r="AH174" s="102"/>
      <c r="AI174" s="80"/>
      <c r="AJ174" s="80"/>
      <c r="AK174" s="80"/>
      <c r="AL174" s="80"/>
      <c r="AM174" s="80"/>
      <c r="AN174" s="80"/>
      <c r="AO174" s="80"/>
      <c r="AP174" s="80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</row>
    <row r="175" spans="1:67" ht="15" x14ac:dyDescent="0.2">
      <c r="A175" s="26" t="s">
        <v>87</v>
      </c>
      <c r="B175" s="25" t="s">
        <v>13</v>
      </c>
      <c r="C175" s="25" t="s">
        <v>583</v>
      </c>
      <c r="D175" s="189" t="s">
        <v>1089</v>
      </c>
      <c r="E175" s="178" t="s">
        <v>44</v>
      </c>
      <c r="F175" s="179" t="s">
        <v>1090</v>
      </c>
      <c r="G175" s="178" t="s">
        <v>1091</v>
      </c>
      <c r="H175" s="27" t="s">
        <v>583</v>
      </c>
      <c r="I175" s="26" t="s">
        <v>1092</v>
      </c>
      <c r="J175" s="28"/>
      <c r="K175" s="28"/>
      <c r="L175" s="28"/>
      <c r="M175" s="28"/>
      <c r="N175" s="26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58"/>
      <c r="Z175" s="540"/>
      <c r="AA175" s="544"/>
      <c r="AB175" s="543"/>
      <c r="AC175" s="80"/>
      <c r="AD175" s="80"/>
      <c r="AE175" s="80"/>
      <c r="AF175" s="102"/>
      <c r="AG175" s="102"/>
      <c r="AH175" s="80"/>
      <c r="AI175" s="80"/>
      <c r="AJ175" s="80"/>
      <c r="AK175" s="80"/>
      <c r="AL175" s="80"/>
      <c r="AM175" s="80"/>
      <c r="AN175" s="80"/>
      <c r="AO175" s="80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182"/>
      <c r="BC175" s="182"/>
      <c r="BD175" s="182"/>
      <c r="BE175" s="182"/>
      <c r="BF175" s="182"/>
      <c r="BG175" s="182"/>
      <c r="BH175" s="182"/>
    </row>
    <row r="176" spans="1:67" ht="15" x14ac:dyDescent="0.2">
      <c r="A176" s="26" t="s">
        <v>576</v>
      </c>
      <c r="B176" s="25"/>
      <c r="C176" s="26" t="s">
        <v>583</v>
      </c>
      <c r="D176" s="189" t="s">
        <v>1093</v>
      </c>
      <c r="E176" s="178" t="s">
        <v>577</v>
      </c>
      <c r="F176" s="179" t="s">
        <v>578</v>
      </c>
      <c r="G176" s="178" t="s">
        <v>206</v>
      </c>
      <c r="H176" s="27" t="s">
        <v>583</v>
      </c>
      <c r="I176" s="26" t="s">
        <v>584</v>
      </c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58"/>
      <c r="Z176" s="540"/>
      <c r="AA176" s="544"/>
      <c r="AB176" s="543"/>
      <c r="AC176" s="80"/>
      <c r="AD176" s="80"/>
      <c r="AE176" s="80"/>
      <c r="AF176" s="173"/>
      <c r="AG176" s="173"/>
      <c r="AH176" s="80"/>
      <c r="AI176" s="80"/>
      <c r="AJ176" s="80"/>
      <c r="AK176" s="80"/>
      <c r="AL176" s="80"/>
      <c r="AM176" s="80"/>
      <c r="AN176" s="80"/>
      <c r="AO176" s="80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182"/>
      <c r="BC176" s="182"/>
      <c r="BD176" s="182"/>
      <c r="BE176" s="182"/>
      <c r="BF176" s="182"/>
      <c r="BG176" s="182"/>
      <c r="BH176" s="182"/>
    </row>
    <row r="177" spans="1:60" ht="15" x14ac:dyDescent="0.2">
      <c r="A177" s="26" t="s">
        <v>576</v>
      </c>
      <c r="B177" s="25"/>
      <c r="C177" s="25" t="s">
        <v>583</v>
      </c>
      <c r="D177" s="189" t="s">
        <v>1094</v>
      </c>
      <c r="E177" s="92" t="s">
        <v>586</v>
      </c>
      <c r="F177" s="88" t="s">
        <v>587</v>
      </c>
      <c r="G177" s="45" t="s">
        <v>588</v>
      </c>
      <c r="H177" s="27" t="s">
        <v>583</v>
      </c>
      <c r="I177" s="26" t="s">
        <v>593</v>
      </c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58"/>
      <c r="Z177" s="540"/>
      <c r="AA177" s="544"/>
      <c r="AB177" s="543"/>
      <c r="AC177" s="80"/>
      <c r="AD177" s="80"/>
      <c r="AE177" s="102"/>
      <c r="AF177" s="102"/>
      <c r="AG177" s="32"/>
      <c r="AH177" s="32"/>
      <c r="AI177" s="32"/>
      <c r="AJ177" s="32"/>
      <c r="AK177" s="32"/>
      <c r="AL177" s="32"/>
      <c r="AM177" s="32"/>
      <c r="AN177" s="32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182"/>
      <c r="BC177" s="182"/>
      <c r="BD177" s="182"/>
      <c r="BE177" s="182"/>
      <c r="BF177" s="182"/>
      <c r="BG177" s="182"/>
      <c r="BH177" s="182"/>
    </row>
    <row r="178" spans="1:60" ht="15" x14ac:dyDescent="0.2">
      <c r="A178" s="143" t="s">
        <v>576</v>
      </c>
      <c r="B178" s="22"/>
      <c r="C178" s="143" t="s">
        <v>583</v>
      </c>
      <c r="D178" s="500" t="s">
        <v>1095</v>
      </c>
      <c r="E178" s="129" t="s">
        <v>595</v>
      </c>
      <c r="F178" s="124" t="s">
        <v>596</v>
      </c>
      <c r="G178" s="17" t="s">
        <v>597</v>
      </c>
      <c r="H178" s="14" t="s">
        <v>583</v>
      </c>
      <c r="I178" s="143" t="s">
        <v>602</v>
      </c>
      <c r="J178" s="498"/>
      <c r="K178" s="498"/>
      <c r="L178" s="498"/>
      <c r="M178" s="498"/>
      <c r="N178" s="498"/>
      <c r="O178" s="498"/>
      <c r="P178" s="498"/>
      <c r="Q178" s="498"/>
      <c r="R178" s="498"/>
      <c r="S178" s="498"/>
      <c r="T178" s="498"/>
      <c r="U178" s="498"/>
      <c r="V178" s="498"/>
      <c r="W178" s="498"/>
      <c r="X178" s="498"/>
      <c r="Y178" s="58"/>
      <c r="Z178" s="540"/>
      <c r="AA178" s="544"/>
      <c r="AB178" s="543"/>
      <c r="AC178" s="32"/>
      <c r="AD178" s="32"/>
      <c r="AE178" s="32"/>
      <c r="AF178" s="32"/>
      <c r="AG178" s="32"/>
      <c r="AH178" s="33"/>
      <c r="AI178" s="32"/>
      <c r="AJ178" s="32"/>
      <c r="AK178" s="32"/>
      <c r="AL178" s="32"/>
      <c r="AM178" s="32"/>
      <c r="AN178" s="32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182"/>
      <c r="BC178" s="182"/>
      <c r="BD178" s="182"/>
      <c r="BE178" s="182"/>
      <c r="BF178" s="182"/>
      <c r="BG178" s="182"/>
      <c r="BH178" s="182"/>
    </row>
    <row r="179" spans="1:60" ht="15" x14ac:dyDescent="0.2">
      <c r="A179" s="47" t="s">
        <v>87</v>
      </c>
      <c r="B179" s="25"/>
      <c r="C179" s="25" t="s">
        <v>583</v>
      </c>
      <c r="D179" s="106" t="s">
        <v>1056</v>
      </c>
      <c r="E179" s="178" t="s">
        <v>15</v>
      </c>
      <c r="F179" s="179" t="s">
        <v>807</v>
      </c>
      <c r="G179" s="178" t="s">
        <v>808</v>
      </c>
      <c r="H179" s="27" t="s">
        <v>583</v>
      </c>
      <c r="I179" s="48" t="s">
        <v>1047</v>
      </c>
      <c r="J179" s="48"/>
      <c r="K179" s="48"/>
      <c r="L179" s="48"/>
      <c r="M179" s="48"/>
      <c r="N179" s="27"/>
      <c r="O179" s="51"/>
      <c r="P179" s="51"/>
      <c r="Q179" s="180"/>
      <c r="R179" s="25"/>
      <c r="S179" s="25"/>
      <c r="T179" s="25"/>
      <c r="U179" s="25"/>
      <c r="V179" s="25"/>
      <c r="W179" s="48"/>
      <c r="X179" s="48"/>
      <c r="Y179" s="181"/>
      <c r="Z179" s="541"/>
      <c r="AA179" s="541"/>
      <c r="AB179" s="545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182"/>
      <c r="BC179" s="182"/>
      <c r="BD179" s="182"/>
      <c r="BE179" s="182"/>
      <c r="BF179" s="182"/>
      <c r="BG179" s="182"/>
      <c r="BH179" s="182"/>
    </row>
    <row r="180" spans="1:60" ht="15" x14ac:dyDescent="0.2">
      <c r="A180" s="26" t="s">
        <v>576</v>
      </c>
      <c r="B180" s="25"/>
      <c r="C180" s="25" t="s">
        <v>583</v>
      </c>
      <c r="D180" s="189" t="s">
        <v>1096</v>
      </c>
      <c r="E180" s="45" t="s">
        <v>595</v>
      </c>
      <c r="F180" s="50" t="s">
        <v>604</v>
      </c>
      <c r="G180" s="45" t="s">
        <v>605</v>
      </c>
      <c r="H180" s="27" t="s">
        <v>583</v>
      </c>
      <c r="I180" s="48" t="s">
        <v>609</v>
      </c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58"/>
      <c r="Z180" s="540"/>
      <c r="AA180" s="544"/>
      <c r="AB180" s="543"/>
      <c r="AC180" s="187"/>
      <c r="AD180" s="187"/>
      <c r="AE180" s="187"/>
      <c r="AF180" s="187"/>
      <c r="AG180" s="187"/>
      <c r="AH180" s="187"/>
      <c r="AI180" s="187"/>
      <c r="AJ180" s="187"/>
      <c r="AK180" s="187"/>
      <c r="AL180" s="187"/>
      <c r="AM180" s="187"/>
      <c r="AN180" s="187"/>
      <c r="AO180" s="188"/>
      <c r="AP180" s="188"/>
      <c r="AQ180" s="188"/>
      <c r="AR180" s="188"/>
      <c r="AS180" s="188"/>
      <c r="AT180" s="188"/>
      <c r="AU180" s="188"/>
      <c r="AV180" s="188"/>
      <c r="AW180" s="188"/>
      <c r="AX180" s="188"/>
      <c r="AY180" s="188"/>
      <c r="AZ180" s="188"/>
      <c r="BA180" s="188"/>
      <c r="BB180" s="188"/>
      <c r="BC180" s="188"/>
      <c r="BD180" s="188"/>
      <c r="BE180" s="188"/>
      <c r="BF180" s="188"/>
      <c r="BG180" s="188"/>
      <c r="BH180" s="188"/>
    </row>
    <row r="181" spans="1:60" ht="15" x14ac:dyDescent="0.2">
      <c r="A181" s="26" t="s">
        <v>576</v>
      </c>
      <c r="B181" s="25"/>
      <c r="C181" s="26" t="s">
        <v>583</v>
      </c>
      <c r="D181" s="189" t="s">
        <v>1097</v>
      </c>
      <c r="E181" s="92" t="s">
        <v>611</v>
      </c>
      <c r="F181" s="88" t="s">
        <v>612</v>
      </c>
      <c r="G181" s="45" t="s">
        <v>613</v>
      </c>
      <c r="H181" s="27" t="s">
        <v>583</v>
      </c>
      <c r="I181" s="48" t="s">
        <v>618</v>
      </c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58"/>
      <c r="Z181" s="540"/>
      <c r="AA181" s="544"/>
      <c r="AB181" s="543"/>
      <c r="AC181" s="187"/>
      <c r="AD181" s="187"/>
      <c r="AE181" s="187"/>
      <c r="AF181" s="187"/>
      <c r="AG181" s="187"/>
      <c r="AH181" s="187"/>
      <c r="AI181" s="187"/>
      <c r="AJ181" s="187"/>
      <c r="AK181" s="187"/>
      <c r="AL181" s="187"/>
      <c r="AM181" s="187"/>
      <c r="AN181" s="187"/>
      <c r="AO181" s="187"/>
      <c r="AP181" s="187"/>
      <c r="AQ181" s="187"/>
      <c r="AR181" s="187"/>
      <c r="AS181" s="187"/>
      <c r="AT181" s="187"/>
      <c r="AU181" s="187"/>
      <c r="AV181" s="187"/>
      <c r="AW181" s="187"/>
      <c r="AX181" s="187"/>
      <c r="AY181" s="187"/>
      <c r="AZ181" s="187"/>
      <c r="BA181" s="187"/>
      <c r="BB181" s="188"/>
      <c r="BC181" s="188"/>
      <c r="BD181" s="188"/>
      <c r="BE181" s="188"/>
      <c r="BF181" s="188"/>
      <c r="BG181" s="188"/>
      <c r="BH181" s="188"/>
    </row>
    <row r="182" spans="1:60" ht="15" x14ac:dyDescent="0.2">
      <c r="A182" s="28" t="s">
        <v>432</v>
      </c>
      <c r="B182" s="25"/>
      <c r="C182" s="25" t="s">
        <v>583</v>
      </c>
      <c r="D182" s="189" t="s">
        <v>1098</v>
      </c>
      <c r="E182" s="178" t="s">
        <v>445</v>
      </c>
      <c r="F182" s="179" t="s">
        <v>446</v>
      </c>
      <c r="G182" s="178" t="s">
        <v>447</v>
      </c>
      <c r="H182" s="27" t="s">
        <v>583</v>
      </c>
      <c r="I182" s="48" t="s">
        <v>1099</v>
      </c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1"/>
      <c r="Z182" s="538"/>
      <c r="AA182" s="543"/>
      <c r="AB182" s="543"/>
      <c r="AC182" s="187"/>
      <c r="AD182" s="187"/>
      <c r="AE182" s="187"/>
      <c r="AF182" s="187"/>
      <c r="AG182" s="187"/>
      <c r="AH182" s="187"/>
      <c r="AI182" s="187"/>
      <c r="AJ182" s="187"/>
      <c r="AK182" s="187"/>
      <c r="AL182" s="187"/>
      <c r="AM182" s="187"/>
      <c r="AN182" s="187"/>
      <c r="AO182" s="187"/>
      <c r="AP182" s="187"/>
      <c r="AQ182" s="187"/>
      <c r="AR182" s="187"/>
      <c r="AS182" s="187"/>
      <c r="AT182" s="187"/>
      <c r="AU182" s="187"/>
      <c r="AV182" s="187"/>
      <c r="AW182" s="187"/>
      <c r="AX182" s="187"/>
      <c r="AY182" s="187"/>
      <c r="AZ182" s="187"/>
      <c r="BA182" s="187"/>
      <c r="BB182" s="188"/>
      <c r="BC182" s="188"/>
      <c r="BD182" s="188"/>
      <c r="BE182" s="188"/>
      <c r="BF182" s="188"/>
      <c r="BG182" s="188"/>
      <c r="BH182" s="188"/>
    </row>
    <row r="183" spans="1:60" ht="15" x14ac:dyDescent="0.2">
      <c r="A183" s="28" t="s">
        <v>432</v>
      </c>
      <c r="B183" s="25"/>
      <c r="C183" s="26" t="s">
        <v>583</v>
      </c>
      <c r="D183" s="189" t="s">
        <v>1100</v>
      </c>
      <c r="E183" s="178" t="s">
        <v>265</v>
      </c>
      <c r="F183" s="179" t="s">
        <v>433</v>
      </c>
      <c r="G183" s="178" t="s">
        <v>206</v>
      </c>
      <c r="H183" s="27" t="s">
        <v>583</v>
      </c>
      <c r="I183" s="48" t="s">
        <v>1101</v>
      </c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58"/>
      <c r="Z183" s="522"/>
      <c r="AA183" s="522"/>
      <c r="AB183" s="522"/>
      <c r="AC183" s="187"/>
      <c r="AD183" s="187"/>
      <c r="AE183" s="187"/>
      <c r="AF183" s="187"/>
      <c r="AG183" s="187"/>
      <c r="AH183" s="187"/>
      <c r="AI183" s="187"/>
      <c r="AJ183" s="187"/>
      <c r="AK183" s="187"/>
      <c r="AL183" s="187"/>
      <c r="AM183" s="187"/>
      <c r="AN183" s="187"/>
      <c r="AO183" s="187"/>
      <c r="AP183" s="187"/>
      <c r="AQ183" s="187"/>
      <c r="AR183" s="187"/>
      <c r="AS183" s="187"/>
      <c r="AT183" s="187"/>
      <c r="AU183" s="187"/>
      <c r="AV183" s="187"/>
      <c r="AW183" s="187"/>
      <c r="AX183" s="187"/>
      <c r="AY183" s="187"/>
      <c r="AZ183" s="187"/>
      <c r="BA183" s="187"/>
      <c r="BB183" s="188"/>
      <c r="BC183" s="188"/>
      <c r="BD183" s="188"/>
      <c r="BE183" s="188"/>
      <c r="BF183" s="188"/>
      <c r="BG183" s="188"/>
      <c r="BH183" s="188"/>
    </row>
    <row r="184" spans="1:60" ht="15" x14ac:dyDescent="0.2">
      <c r="A184" s="28" t="s">
        <v>87</v>
      </c>
      <c r="B184" s="25" t="s">
        <v>13</v>
      </c>
      <c r="C184" s="25" t="s">
        <v>583</v>
      </c>
      <c r="D184" s="189" t="s">
        <v>1102</v>
      </c>
      <c r="E184" s="178" t="s">
        <v>88</v>
      </c>
      <c r="F184" s="179" t="s">
        <v>156</v>
      </c>
      <c r="G184" s="178" t="s">
        <v>157</v>
      </c>
      <c r="H184" s="27" t="s">
        <v>583</v>
      </c>
      <c r="I184" s="48" t="s">
        <v>1103</v>
      </c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58"/>
      <c r="Z184" s="522"/>
      <c r="AA184" s="522"/>
      <c r="AB184" s="522"/>
      <c r="AC184" s="187"/>
      <c r="AD184" s="187"/>
      <c r="AE184" s="187"/>
      <c r="AF184" s="187"/>
      <c r="AG184" s="187"/>
      <c r="AH184" s="187"/>
      <c r="AI184" s="187"/>
      <c r="AJ184" s="187"/>
      <c r="AK184" s="187"/>
      <c r="AL184" s="187"/>
      <c r="AM184" s="187"/>
      <c r="AN184" s="187"/>
      <c r="AO184" s="187"/>
      <c r="AP184" s="187"/>
      <c r="AQ184" s="187"/>
      <c r="AR184" s="187"/>
      <c r="AS184" s="187"/>
      <c r="AT184" s="187"/>
      <c r="AU184" s="187"/>
      <c r="AV184" s="187"/>
      <c r="AW184" s="187"/>
      <c r="AX184" s="187"/>
      <c r="AY184" s="187"/>
      <c r="AZ184" s="187"/>
      <c r="BA184" s="187"/>
      <c r="BB184" s="188"/>
      <c r="BC184" s="188"/>
      <c r="BD184" s="188"/>
      <c r="BE184" s="188"/>
      <c r="BF184" s="188"/>
      <c r="BG184" s="188"/>
      <c r="BH184" s="188"/>
    </row>
    <row r="185" spans="1:60" ht="15" x14ac:dyDescent="0.2">
      <c r="A185" s="28" t="s">
        <v>87</v>
      </c>
      <c r="B185" s="25" t="s">
        <v>13</v>
      </c>
      <c r="C185" s="26" t="s">
        <v>583</v>
      </c>
      <c r="D185" s="189" t="s">
        <v>1104</v>
      </c>
      <c r="E185" s="178" t="s">
        <v>34</v>
      </c>
      <c r="F185" s="179" t="s">
        <v>1105</v>
      </c>
      <c r="G185" s="178" t="s">
        <v>1106</v>
      </c>
      <c r="H185" s="27" t="s">
        <v>583</v>
      </c>
      <c r="I185" s="48" t="s">
        <v>1107</v>
      </c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1"/>
      <c r="Z185" s="522"/>
      <c r="AA185" s="522"/>
      <c r="AB185" s="522"/>
      <c r="AC185" s="187"/>
      <c r="AD185" s="187"/>
      <c r="AE185" s="187"/>
      <c r="AF185" s="187"/>
      <c r="AG185" s="187"/>
      <c r="AH185" s="187"/>
      <c r="AI185" s="187"/>
      <c r="AJ185" s="187"/>
      <c r="AK185" s="187"/>
      <c r="AL185" s="187"/>
      <c r="AM185" s="187"/>
      <c r="AN185" s="187"/>
      <c r="AO185" s="187"/>
      <c r="AP185" s="187"/>
      <c r="AQ185" s="187"/>
      <c r="AR185" s="187"/>
      <c r="AS185" s="187"/>
      <c r="AT185" s="187"/>
      <c r="AU185" s="187"/>
      <c r="AV185" s="187"/>
      <c r="AW185" s="187"/>
      <c r="AX185" s="187"/>
      <c r="AY185" s="187"/>
      <c r="AZ185" s="187"/>
      <c r="BA185" s="187"/>
      <c r="BB185" s="188"/>
      <c r="BC185" s="188"/>
      <c r="BD185" s="188"/>
      <c r="BE185" s="188"/>
      <c r="BF185" s="188"/>
      <c r="BG185" s="188"/>
      <c r="BH185" s="188"/>
    </row>
    <row r="186" spans="1:60" ht="15" x14ac:dyDescent="0.2">
      <c r="A186" s="28" t="s">
        <v>12</v>
      </c>
      <c r="B186" s="25"/>
      <c r="C186" s="25" t="s">
        <v>583</v>
      </c>
      <c r="D186" s="189" t="s">
        <v>1108</v>
      </c>
      <c r="E186" s="178" t="s">
        <v>44</v>
      </c>
      <c r="F186" s="179" t="s">
        <v>205</v>
      </c>
      <c r="G186" s="178" t="s">
        <v>206</v>
      </c>
      <c r="H186" s="27" t="s">
        <v>583</v>
      </c>
      <c r="I186" s="48" t="s">
        <v>1109</v>
      </c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58"/>
      <c r="Z186" s="522"/>
      <c r="AA186" s="522"/>
      <c r="AB186" s="522"/>
      <c r="AC186" s="187"/>
      <c r="AD186" s="187"/>
      <c r="AE186" s="187"/>
      <c r="AF186" s="187"/>
      <c r="AG186" s="187"/>
      <c r="AH186" s="187"/>
      <c r="AI186" s="187"/>
      <c r="AJ186" s="187"/>
      <c r="AK186" s="187"/>
      <c r="AL186" s="187"/>
      <c r="AM186" s="187"/>
      <c r="AN186" s="187"/>
      <c r="AO186" s="187"/>
      <c r="AP186" s="187"/>
      <c r="AQ186" s="187"/>
      <c r="AR186" s="187"/>
      <c r="AS186" s="187"/>
      <c r="AT186" s="187"/>
      <c r="AU186" s="187"/>
      <c r="AV186" s="187"/>
      <c r="AW186" s="187"/>
      <c r="AX186" s="187"/>
      <c r="AY186" s="187"/>
      <c r="AZ186" s="187"/>
      <c r="BA186" s="187"/>
      <c r="BB186" s="188"/>
      <c r="BC186" s="188"/>
      <c r="BD186" s="188"/>
      <c r="BE186" s="188"/>
      <c r="BF186" s="188"/>
      <c r="BG186" s="188"/>
      <c r="BH186" s="188"/>
    </row>
    <row r="187" spans="1:60" ht="15" x14ac:dyDescent="0.2">
      <c r="A187" s="28" t="s">
        <v>12</v>
      </c>
      <c r="B187" s="25"/>
      <c r="C187" s="26" t="s">
        <v>583</v>
      </c>
      <c r="D187" s="189" t="s">
        <v>1110</v>
      </c>
      <c r="E187" s="178" t="s">
        <v>44</v>
      </c>
      <c r="F187" s="179" t="s">
        <v>97</v>
      </c>
      <c r="G187" s="178" t="s">
        <v>98</v>
      </c>
      <c r="H187" s="27" t="s">
        <v>583</v>
      </c>
      <c r="I187" s="48" t="s">
        <v>1111</v>
      </c>
      <c r="J187" s="39"/>
      <c r="K187" s="39"/>
      <c r="L187" s="39"/>
      <c r="M187" s="39"/>
      <c r="N187" s="39"/>
      <c r="O187" s="40"/>
      <c r="P187" s="40"/>
      <c r="Q187" s="39"/>
      <c r="R187" s="39"/>
      <c r="S187" s="39"/>
      <c r="T187" s="39"/>
      <c r="U187" s="39"/>
      <c r="V187" s="39"/>
      <c r="W187" s="39"/>
      <c r="X187" s="39"/>
      <c r="Y187" s="521"/>
      <c r="Z187" s="522"/>
      <c r="AA187" s="522"/>
      <c r="AB187" s="522"/>
      <c r="AC187" s="187"/>
      <c r="AD187" s="187"/>
      <c r="AE187" s="187"/>
      <c r="AF187" s="187"/>
      <c r="AG187" s="187"/>
      <c r="AH187" s="187"/>
      <c r="AI187" s="187"/>
      <c r="AJ187" s="187"/>
      <c r="AK187" s="187"/>
      <c r="AL187" s="187"/>
      <c r="AM187" s="187"/>
      <c r="AN187" s="187"/>
      <c r="AO187" s="187"/>
      <c r="AP187" s="187"/>
      <c r="AQ187" s="187"/>
      <c r="AR187" s="187"/>
      <c r="AS187" s="187"/>
      <c r="AT187" s="187"/>
      <c r="AU187" s="187"/>
      <c r="AV187" s="187"/>
      <c r="AW187" s="187"/>
      <c r="AX187" s="187"/>
      <c r="AY187" s="187"/>
      <c r="AZ187" s="187"/>
      <c r="BA187" s="187"/>
      <c r="BB187" s="188"/>
      <c r="BC187" s="188"/>
      <c r="BD187" s="188"/>
      <c r="BE187" s="188"/>
      <c r="BF187" s="188"/>
      <c r="BG187" s="188"/>
      <c r="BH187" s="188"/>
    </row>
    <row r="188" spans="1:60" ht="15" x14ac:dyDescent="0.2">
      <c r="A188" s="28" t="s">
        <v>12</v>
      </c>
      <c r="B188" s="25"/>
      <c r="C188" s="25" t="s">
        <v>583</v>
      </c>
      <c r="D188" s="189" t="s">
        <v>1112</v>
      </c>
      <c r="E188" s="178" t="s">
        <v>44</v>
      </c>
      <c r="F188" s="179" t="s">
        <v>252</v>
      </c>
      <c r="G188" s="178" t="s">
        <v>253</v>
      </c>
      <c r="H188" s="27" t="s">
        <v>583</v>
      </c>
      <c r="I188" s="48" t="s">
        <v>1113</v>
      </c>
      <c r="J188" s="39"/>
      <c r="K188" s="39"/>
      <c r="L188" s="39"/>
      <c r="M188" s="39"/>
      <c r="N188" s="39"/>
      <c r="O188" s="40"/>
      <c r="P188" s="40"/>
      <c r="Q188" s="39"/>
      <c r="R188" s="39"/>
      <c r="S188" s="39"/>
      <c r="T188" s="39"/>
      <c r="U188" s="39"/>
      <c r="V188" s="39"/>
      <c r="W188" s="39"/>
      <c r="X188" s="39"/>
      <c r="Y188" s="521"/>
      <c r="Z188" s="522"/>
      <c r="AA188" s="522"/>
      <c r="AB188" s="522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7"/>
      <c r="AQ188" s="187"/>
      <c r="AR188" s="187"/>
      <c r="AS188" s="187"/>
      <c r="AT188" s="187"/>
      <c r="AU188" s="187"/>
      <c r="AV188" s="187"/>
      <c r="AW188" s="187"/>
      <c r="AX188" s="187"/>
      <c r="AY188" s="187"/>
      <c r="AZ188" s="187"/>
      <c r="BA188" s="187"/>
      <c r="BB188" s="188"/>
      <c r="BC188" s="188"/>
      <c r="BD188" s="188"/>
      <c r="BE188" s="188"/>
      <c r="BF188" s="188"/>
      <c r="BG188" s="188"/>
      <c r="BH188" s="188"/>
    </row>
    <row r="189" spans="1:60" ht="15" x14ac:dyDescent="0.2">
      <c r="A189" s="28" t="s">
        <v>12</v>
      </c>
      <c r="B189" s="25"/>
      <c r="C189" s="26" t="s">
        <v>583</v>
      </c>
      <c r="D189" s="189" t="s">
        <v>1114</v>
      </c>
      <c r="E189" s="178" t="s">
        <v>79</v>
      </c>
      <c r="F189" s="179" t="s">
        <v>110</v>
      </c>
      <c r="G189" s="178" t="s">
        <v>111</v>
      </c>
      <c r="H189" s="27" t="s">
        <v>583</v>
      </c>
      <c r="I189" s="48" t="s">
        <v>1115</v>
      </c>
      <c r="J189" s="39"/>
      <c r="K189" s="39"/>
      <c r="L189" s="39"/>
      <c r="M189" s="39"/>
      <c r="N189" s="39"/>
      <c r="O189" s="40"/>
      <c r="P189" s="40"/>
      <c r="Q189" s="39"/>
      <c r="R189" s="39"/>
      <c r="S189" s="39"/>
      <c r="T189" s="39"/>
      <c r="U189" s="39"/>
      <c r="V189" s="39"/>
      <c r="W189" s="39"/>
      <c r="X189" s="39"/>
      <c r="Y189" s="521"/>
      <c r="Z189" s="522"/>
      <c r="AA189" s="522"/>
      <c r="AB189" s="522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7"/>
      <c r="AQ189" s="187"/>
      <c r="AR189" s="187"/>
      <c r="AS189" s="187"/>
      <c r="AT189" s="187"/>
      <c r="AU189" s="187"/>
      <c r="AV189" s="187"/>
      <c r="AW189" s="187"/>
      <c r="AX189" s="187"/>
      <c r="AY189" s="187"/>
      <c r="AZ189" s="187"/>
      <c r="BA189" s="187"/>
      <c r="BB189" s="188"/>
      <c r="BC189" s="188"/>
      <c r="BD189" s="188"/>
      <c r="BE189" s="188"/>
      <c r="BF189" s="188"/>
      <c r="BG189" s="188"/>
      <c r="BH189" s="188"/>
    </row>
    <row r="190" spans="1:60" ht="15" x14ac:dyDescent="0.2">
      <c r="A190" s="47" t="s">
        <v>87</v>
      </c>
      <c r="B190" s="25"/>
      <c r="C190" s="25" t="s">
        <v>583</v>
      </c>
      <c r="D190" s="106" t="s">
        <v>1057</v>
      </c>
      <c r="E190" s="50" t="s">
        <v>44</v>
      </c>
      <c r="F190" s="45" t="s">
        <v>911</v>
      </c>
      <c r="G190" s="50" t="s">
        <v>245</v>
      </c>
      <c r="H190" s="27" t="s">
        <v>583</v>
      </c>
      <c r="I190" s="48" t="s">
        <v>915</v>
      </c>
      <c r="J190" s="48"/>
      <c r="K190" s="48"/>
      <c r="L190" s="48"/>
      <c r="M190" s="48"/>
      <c r="N190" s="48"/>
      <c r="O190" s="25"/>
      <c r="P190" s="25"/>
      <c r="Q190" s="25"/>
      <c r="R190" s="25"/>
      <c r="S190" s="25"/>
      <c r="T190" s="25"/>
      <c r="U190" s="25"/>
      <c r="V190" s="25"/>
      <c r="W190" s="48"/>
      <c r="X190" s="48"/>
      <c r="Y190" s="181"/>
      <c r="Z190" s="541"/>
      <c r="AA190" s="541"/>
      <c r="AB190" s="545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7"/>
      <c r="AQ190" s="187"/>
      <c r="AR190" s="187"/>
      <c r="AS190" s="187"/>
      <c r="AT190" s="187"/>
      <c r="AU190" s="187"/>
      <c r="AV190" s="187"/>
      <c r="AW190" s="187"/>
      <c r="AX190" s="187"/>
      <c r="AY190" s="187"/>
      <c r="AZ190" s="187"/>
      <c r="BA190" s="187"/>
      <c r="BB190" s="188"/>
      <c r="BC190" s="188"/>
      <c r="BD190" s="188"/>
      <c r="BE190" s="188"/>
      <c r="BF190" s="188"/>
      <c r="BG190" s="188"/>
      <c r="BH190" s="188"/>
    </row>
    <row r="191" spans="1:60" ht="15" x14ac:dyDescent="0.2">
      <c r="A191" s="28" t="s">
        <v>12</v>
      </c>
      <c r="B191" s="25"/>
      <c r="C191" s="25" t="s">
        <v>583</v>
      </c>
      <c r="D191" s="189" t="s">
        <v>1116</v>
      </c>
      <c r="E191" s="178" t="s">
        <v>34</v>
      </c>
      <c r="F191" s="179" t="s">
        <v>71</v>
      </c>
      <c r="G191" s="178" t="s">
        <v>72</v>
      </c>
      <c r="H191" s="27" t="s">
        <v>583</v>
      </c>
      <c r="I191" s="48" t="s">
        <v>1117</v>
      </c>
      <c r="J191" s="39"/>
      <c r="K191" s="39"/>
      <c r="L191" s="39"/>
      <c r="M191" s="39"/>
      <c r="N191" s="39"/>
      <c r="O191" s="40"/>
      <c r="P191" s="40"/>
      <c r="Q191" s="39"/>
      <c r="R191" s="39"/>
      <c r="S191" s="39"/>
      <c r="T191" s="39"/>
      <c r="U191" s="39"/>
      <c r="V191" s="39"/>
      <c r="W191" s="39"/>
      <c r="X191" s="39"/>
      <c r="Y191" s="521"/>
      <c r="Z191" s="522"/>
      <c r="AA191" s="522"/>
      <c r="AB191" s="522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7"/>
      <c r="AQ191" s="187"/>
      <c r="AR191" s="187"/>
      <c r="AS191" s="187"/>
      <c r="AT191" s="187"/>
      <c r="AU191" s="187"/>
      <c r="AV191" s="187"/>
      <c r="AW191" s="187"/>
      <c r="AX191" s="187"/>
      <c r="AY191" s="187"/>
      <c r="AZ191" s="187"/>
      <c r="BA191" s="187"/>
      <c r="BB191" s="188"/>
      <c r="BC191" s="188"/>
      <c r="BD191" s="188"/>
      <c r="BE191" s="188"/>
      <c r="BF191" s="188"/>
      <c r="BG191" s="188"/>
      <c r="BH191" s="188"/>
    </row>
    <row r="192" spans="1:60" ht="15" x14ac:dyDescent="0.2">
      <c r="A192" s="28" t="s">
        <v>12</v>
      </c>
      <c r="B192" s="25"/>
      <c r="C192" s="26" t="s">
        <v>583</v>
      </c>
      <c r="D192" s="189" t="s">
        <v>1118</v>
      </c>
      <c r="E192" s="178" t="s">
        <v>34</v>
      </c>
      <c r="F192" s="179" t="s">
        <v>165</v>
      </c>
      <c r="G192" s="178" t="s">
        <v>157</v>
      </c>
      <c r="H192" s="27" t="s">
        <v>583</v>
      </c>
      <c r="I192" s="48" t="s">
        <v>1119</v>
      </c>
      <c r="J192" s="39"/>
      <c r="K192" s="39"/>
      <c r="L192" s="39"/>
      <c r="M192" s="39"/>
      <c r="N192" s="39"/>
      <c r="O192" s="40"/>
      <c r="P192" s="40"/>
      <c r="Q192" s="39"/>
      <c r="R192" s="39"/>
      <c r="S192" s="39"/>
      <c r="T192" s="39"/>
      <c r="U192" s="39"/>
      <c r="V192" s="39"/>
      <c r="W192" s="39"/>
      <c r="X192" s="39"/>
      <c r="Y192" s="521"/>
      <c r="Z192" s="522"/>
      <c r="AA192" s="522"/>
      <c r="AB192" s="522"/>
      <c r="AC192" s="187"/>
      <c r="AD192" s="187"/>
      <c r="AE192" s="187"/>
      <c r="AF192" s="187"/>
      <c r="AG192" s="187"/>
      <c r="AH192" s="187"/>
      <c r="AI192" s="187"/>
      <c r="AJ192" s="187"/>
      <c r="AK192" s="187"/>
      <c r="AL192" s="187"/>
      <c r="AM192" s="187"/>
      <c r="AN192" s="187"/>
      <c r="AO192" s="187"/>
      <c r="AP192" s="187"/>
      <c r="AQ192" s="187"/>
      <c r="AR192" s="187"/>
      <c r="AS192" s="187"/>
      <c r="AT192" s="187"/>
      <c r="AU192" s="187"/>
      <c r="AV192" s="187"/>
      <c r="AW192" s="187"/>
      <c r="AX192" s="187"/>
      <c r="AY192" s="187"/>
      <c r="AZ192" s="187"/>
      <c r="BA192" s="187"/>
      <c r="BB192" s="188"/>
      <c r="BC192" s="188"/>
      <c r="BD192" s="188"/>
      <c r="BE192" s="188"/>
      <c r="BF192" s="188"/>
      <c r="BG192" s="188"/>
      <c r="BH192" s="188"/>
    </row>
    <row r="193" spans="1:28" x14ac:dyDescent="0.2">
      <c r="A193" s="28" t="s">
        <v>620</v>
      </c>
      <c r="B193" s="28"/>
      <c r="C193" s="25" t="s">
        <v>583</v>
      </c>
      <c r="D193" s="189" t="s">
        <v>1120</v>
      </c>
      <c r="E193" s="178" t="s">
        <v>445</v>
      </c>
      <c r="F193" s="179" t="s">
        <v>961</v>
      </c>
      <c r="G193" s="178" t="s">
        <v>962</v>
      </c>
      <c r="H193" s="28" t="s">
        <v>583</v>
      </c>
      <c r="I193" s="48" t="s">
        <v>967</v>
      </c>
      <c r="J193" s="39"/>
      <c r="K193" s="39"/>
      <c r="L193" s="39"/>
      <c r="M193" s="39"/>
      <c r="N193" s="39"/>
      <c r="O193" s="40"/>
      <c r="P193" s="40"/>
      <c r="Q193" s="39"/>
      <c r="R193" s="39"/>
      <c r="S193" s="39"/>
      <c r="T193" s="39"/>
      <c r="U193" s="39"/>
      <c r="V193" s="39"/>
      <c r="W193" s="39"/>
      <c r="X193" s="39"/>
      <c r="Y193" s="521"/>
      <c r="Z193" s="497"/>
      <c r="AA193" s="497"/>
      <c r="AB193" s="497"/>
    </row>
    <row r="194" spans="1:28" x14ac:dyDescent="0.2">
      <c r="A194" s="47" t="s">
        <v>87</v>
      </c>
      <c r="B194" s="25"/>
      <c r="C194" s="25" t="s">
        <v>583</v>
      </c>
      <c r="D194" s="106" t="s">
        <v>1058</v>
      </c>
      <c r="E194" s="50" t="s">
        <v>34</v>
      </c>
      <c r="F194" s="45" t="s">
        <v>885</v>
      </c>
      <c r="G194" s="50" t="s">
        <v>692</v>
      </c>
      <c r="H194" s="27" t="s">
        <v>583</v>
      </c>
      <c r="I194" s="48" t="s">
        <v>890</v>
      </c>
      <c r="J194" s="48"/>
      <c r="K194" s="48"/>
      <c r="L194" s="48"/>
      <c r="M194" s="48"/>
      <c r="N194" s="48"/>
      <c r="O194" s="25"/>
      <c r="P194" s="25"/>
      <c r="Q194" s="25"/>
      <c r="R194" s="25"/>
      <c r="S194" s="25"/>
      <c r="T194" s="25"/>
      <c r="U194" s="25"/>
      <c r="V194" s="25"/>
      <c r="W194" s="48"/>
      <c r="X194" s="48"/>
      <c r="Y194" s="181"/>
      <c r="Z194" s="494"/>
      <c r="AA194" s="494"/>
      <c r="AB194" s="495"/>
    </row>
    <row r="195" spans="1:28" x14ac:dyDescent="0.2">
      <c r="A195" s="47" t="s">
        <v>87</v>
      </c>
      <c r="B195" s="25"/>
      <c r="C195" s="25" t="s">
        <v>583</v>
      </c>
      <c r="D195" s="106" t="s">
        <v>1059</v>
      </c>
      <c r="E195" s="183" t="s">
        <v>15</v>
      </c>
      <c r="F195" s="184" t="s">
        <v>630</v>
      </c>
      <c r="G195" s="183" t="s">
        <v>157</v>
      </c>
      <c r="H195" s="27" t="s">
        <v>583</v>
      </c>
      <c r="I195" s="48" t="s">
        <v>635</v>
      </c>
      <c r="J195" s="48"/>
      <c r="K195" s="48"/>
      <c r="L195" s="48"/>
      <c r="M195" s="48"/>
      <c r="N195" s="48"/>
      <c r="O195" s="25"/>
      <c r="P195" s="25"/>
      <c r="Q195" s="25"/>
      <c r="R195" s="25"/>
      <c r="S195" s="25"/>
      <c r="T195" s="25"/>
      <c r="U195" s="25"/>
      <c r="V195" s="25"/>
      <c r="W195" s="48"/>
      <c r="X195" s="48"/>
      <c r="Y195" s="181"/>
      <c r="Z195" s="494"/>
      <c r="AA195" s="494"/>
      <c r="AB195" s="495"/>
    </row>
    <row r="196" spans="1:28" x14ac:dyDescent="0.2">
      <c r="A196" s="47" t="s">
        <v>87</v>
      </c>
      <c r="B196" s="25"/>
      <c r="C196" s="25" t="s">
        <v>583</v>
      </c>
      <c r="D196" s="106" t="s">
        <v>1060</v>
      </c>
      <c r="E196" s="55" t="s">
        <v>88</v>
      </c>
      <c r="F196" s="508" t="s">
        <v>865</v>
      </c>
      <c r="G196" s="55" t="s">
        <v>866</v>
      </c>
      <c r="H196" s="27" t="s">
        <v>583</v>
      </c>
      <c r="I196" s="48" t="s">
        <v>1061</v>
      </c>
      <c r="J196" s="27"/>
      <c r="K196" s="27"/>
      <c r="L196" s="48"/>
      <c r="M196" s="27"/>
      <c r="N196" s="27"/>
      <c r="O196" s="30"/>
      <c r="P196" s="30"/>
      <c r="Q196" s="30"/>
      <c r="R196" s="30"/>
      <c r="S196" s="30"/>
      <c r="T196" s="30"/>
      <c r="U196" s="30"/>
      <c r="V196" s="30"/>
      <c r="W196" s="27"/>
      <c r="X196" s="27"/>
      <c r="Y196" s="117"/>
      <c r="Z196" s="488"/>
      <c r="AA196" s="488"/>
      <c r="AB196" s="442"/>
    </row>
    <row r="197" spans="1:28" x14ac:dyDescent="0.2">
      <c r="A197" s="47" t="s">
        <v>87</v>
      </c>
      <c r="B197" s="25" t="s">
        <v>13</v>
      </c>
      <c r="C197" s="25" t="s">
        <v>583</v>
      </c>
      <c r="D197" s="35" t="s">
        <v>1062</v>
      </c>
      <c r="E197" s="45" t="s">
        <v>34</v>
      </c>
      <c r="F197" s="45" t="s">
        <v>1063</v>
      </c>
      <c r="G197" s="45" t="s">
        <v>1064</v>
      </c>
      <c r="H197" s="27" t="s">
        <v>583</v>
      </c>
      <c r="I197" s="48" t="s">
        <v>1065</v>
      </c>
      <c r="J197" s="27"/>
      <c r="K197" s="27"/>
      <c r="L197" s="48"/>
      <c r="M197" s="27"/>
      <c r="N197" s="27"/>
      <c r="O197" s="30"/>
      <c r="P197" s="30"/>
      <c r="Q197" s="30"/>
      <c r="R197" s="30"/>
      <c r="S197" s="30"/>
      <c r="T197" s="30"/>
      <c r="U197" s="30"/>
      <c r="V197" s="30"/>
      <c r="W197" s="27"/>
      <c r="X197" s="27"/>
      <c r="Y197" s="488"/>
      <c r="Z197" s="488"/>
      <c r="AA197" s="488"/>
      <c r="AB197" s="442"/>
    </row>
    <row r="198" spans="1:28" x14ac:dyDescent="0.2">
      <c r="A198" s="2" t="s">
        <v>87</v>
      </c>
      <c r="B198" s="25" t="s">
        <v>13</v>
      </c>
      <c r="C198" s="25" t="s">
        <v>583</v>
      </c>
      <c r="D198" s="35" t="s">
        <v>1066</v>
      </c>
      <c r="E198" s="92" t="s">
        <v>34</v>
      </c>
      <c r="F198" s="88" t="s">
        <v>1067</v>
      </c>
      <c r="G198" s="45" t="s">
        <v>1068</v>
      </c>
      <c r="H198" s="27" t="s">
        <v>583</v>
      </c>
      <c r="I198" s="48" t="s">
        <v>1069</v>
      </c>
      <c r="J198" s="27"/>
      <c r="K198" s="27"/>
      <c r="L198" s="48"/>
      <c r="M198" s="27"/>
      <c r="N198" s="27"/>
      <c r="O198" s="30"/>
      <c r="P198" s="30"/>
      <c r="Q198" s="30"/>
      <c r="R198" s="30"/>
      <c r="S198" s="30"/>
      <c r="T198" s="30"/>
      <c r="U198" s="30"/>
      <c r="V198" s="30"/>
      <c r="W198" s="27"/>
      <c r="X198" s="27"/>
      <c r="Y198" s="488"/>
      <c r="Z198" s="488"/>
      <c r="AA198" s="488"/>
      <c r="AB198" s="442"/>
    </row>
    <row r="199" spans="1:28" ht="15" x14ac:dyDescent="0.2">
      <c r="A199" s="26" t="s">
        <v>87</v>
      </c>
      <c r="B199" s="25" t="s">
        <v>13</v>
      </c>
      <c r="C199" s="25" t="s">
        <v>583</v>
      </c>
      <c r="D199" s="35" t="s">
        <v>1070</v>
      </c>
      <c r="E199" s="45" t="s">
        <v>88</v>
      </c>
      <c r="F199" s="45" t="s">
        <v>1071</v>
      </c>
      <c r="G199" s="45" t="s">
        <v>487</v>
      </c>
      <c r="H199" s="27" t="s">
        <v>583</v>
      </c>
      <c r="I199" s="48" t="s">
        <v>1072</v>
      </c>
      <c r="J199" s="26"/>
      <c r="K199" s="26"/>
      <c r="L199" s="26"/>
      <c r="M199" s="26"/>
      <c r="N199" s="185"/>
      <c r="O199" s="28"/>
      <c r="P199" s="28"/>
      <c r="Q199" s="28"/>
      <c r="R199" s="28"/>
      <c r="S199" s="28"/>
      <c r="T199" s="28"/>
      <c r="U199" s="28"/>
      <c r="V199" s="28"/>
      <c r="W199" s="26"/>
      <c r="X199" s="26"/>
      <c r="Y199" s="511"/>
      <c r="Z199" s="511"/>
      <c r="AA199" s="511"/>
      <c r="AB199" s="519"/>
    </row>
    <row r="200" spans="1:28" x14ac:dyDescent="0.2">
      <c r="H200" s="60" t="s">
        <v>2266</v>
      </c>
      <c r="I200" s="587" t="s">
        <v>1141</v>
      </c>
    </row>
    <row r="201" spans="1:28" x14ac:dyDescent="0.2">
      <c r="H201" s="60" t="s">
        <v>2266</v>
      </c>
      <c r="I201" s="587" t="s">
        <v>1143</v>
      </c>
    </row>
    <row r="202" spans="1:28" x14ac:dyDescent="0.2">
      <c r="I202" s="587"/>
    </row>
  </sheetData>
  <autoFilter ref="A1:AB199">
    <sortState ref="A2:AB206">
      <sortCondition ref="D1:D206"/>
    </sortState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J28" sqref="J2:J28"/>
    </sheetView>
  </sheetViews>
  <sheetFormatPr defaultRowHeight="12.75" x14ac:dyDescent="0.2"/>
  <sheetData>
    <row r="1" spans="1:16" ht="66.75" x14ac:dyDescent="0.2">
      <c r="A1" s="4" t="s">
        <v>0</v>
      </c>
      <c r="B1" s="4" t="s">
        <v>3</v>
      </c>
      <c r="C1" s="4" t="s">
        <v>2</v>
      </c>
      <c r="D1" s="192" t="s">
        <v>1124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  <c r="L1" s="4" t="s">
        <v>8</v>
      </c>
      <c r="M1" s="4" t="s">
        <v>10</v>
      </c>
      <c r="N1" s="4" t="s">
        <v>8</v>
      </c>
      <c r="O1" s="4" t="s">
        <v>11</v>
      </c>
      <c r="P1" s="4" t="s">
        <v>8</v>
      </c>
    </row>
    <row r="2" spans="1:16" x14ac:dyDescent="0.2">
      <c r="A2" s="27" t="s">
        <v>12</v>
      </c>
      <c r="B2" s="30"/>
      <c r="C2" s="27" t="s">
        <v>14</v>
      </c>
      <c r="D2" s="29">
        <v>2</v>
      </c>
      <c r="E2" s="36"/>
      <c r="F2" s="37" t="s">
        <v>29</v>
      </c>
      <c r="G2" s="38"/>
      <c r="H2" s="38"/>
      <c r="I2" s="29" t="s">
        <v>14</v>
      </c>
      <c r="J2" s="27" t="s">
        <v>30</v>
      </c>
      <c r="K2" s="39"/>
      <c r="L2" s="39"/>
      <c r="M2" s="27" t="s">
        <v>21</v>
      </c>
      <c r="N2" s="27" t="s">
        <v>31</v>
      </c>
      <c r="O2" s="27" t="s">
        <v>23</v>
      </c>
      <c r="P2" s="40"/>
    </row>
    <row r="3" spans="1:16" x14ac:dyDescent="0.2">
      <c r="A3" s="27" t="s">
        <v>12</v>
      </c>
      <c r="B3" s="52"/>
      <c r="C3" s="27" t="s">
        <v>14</v>
      </c>
      <c r="D3" s="87">
        <v>13</v>
      </c>
      <c r="E3" s="36"/>
      <c r="F3" s="37" t="s">
        <v>29</v>
      </c>
      <c r="G3" s="38"/>
      <c r="H3" s="38"/>
      <c r="I3" s="29" t="s">
        <v>14</v>
      </c>
      <c r="J3" s="48" t="s">
        <v>125</v>
      </c>
      <c r="K3" s="39"/>
      <c r="L3" s="39"/>
      <c r="M3" s="27" t="s">
        <v>58</v>
      </c>
      <c r="N3" s="48" t="s">
        <v>126</v>
      </c>
      <c r="O3" s="30" t="s">
        <v>23</v>
      </c>
      <c r="P3" s="30"/>
    </row>
    <row r="4" spans="1:16" x14ac:dyDescent="0.2">
      <c r="A4" s="51" t="s">
        <v>620</v>
      </c>
      <c r="B4" s="51"/>
      <c r="C4" s="30" t="s">
        <v>14</v>
      </c>
      <c r="D4" s="193">
        <v>86</v>
      </c>
      <c r="E4" s="92" t="s">
        <v>53</v>
      </c>
      <c r="F4" s="88" t="s">
        <v>657</v>
      </c>
      <c r="G4" s="88" t="s">
        <v>467</v>
      </c>
      <c r="H4" s="17" t="s">
        <v>1125</v>
      </c>
      <c r="I4" s="29" t="s">
        <v>14</v>
      </c>
      <c r="J4" s="47" t="s">
        <v>658</v>
      </c>
      <c r="K4" s="47" t="s">
        <v>92</v>
      </c>
      <c r="L4" s="27" t="s">
        <v>659</v>
      </c>
      <c r="M4" s="27" t="s">
        <v>21</v>
      </c>
      <c r="N4" s="26" t="s">
        <v>660</v>
      </c>
      <c r="O4" s="27" t="s">
        <v>23</v>
      </c>
      <c r="P4" s="51" t="s">
        <v>716</v>
      </c>
    </row>
    <row r="5" spans="1:16" x14ac:dyDescent="0.2">
      <c r="A5" s="47" t="s">
        <v>620</v>
      </c>
      <c r="B5" s="51"/>
      <c r="C5" s="30" t="s">
        <v>14</v>
      </c>
      <c r="D5" s="24">
        <v>90</v>
      </c>
      <c r="E5" s="144"/>
      <c r="F5" s="145" t="s">
        <v>29</v>
      </c>
      <c r="G5" s="37"/>
      <c r="H5" s="37"/>
      <c r="I5" s="29" t="s">
        <v>14</v>
      </c>
      <c r="J5" s="27" t="s">
        <v>681</v>
      </c>
      <c r="K5" s="47" t="s">
        <v>92</v>
      </c>
      <c r="L5" s="47" t="s">
        <v>682</v>
      </c>
      <c r="M5" s="27" t="s">
        <v>21</v>
      </c>
      <c r="N5" s="47" t="s">
        <v>683</v>
      </c>
      <c r="O5" s="30" t="s">
        <v>23</v>
      </c>
      <c r="P5" s="2"/>
    </row>
    <row r="6" spans="1:16" x14ac:dyDescent="0.2">
      <c r="A6" s="51" t="s">
        <v>697</v>
      </c>
      <c r="B6" s="51"/>
      <c r="C6" s="30" t="s">
        <v>14</v>
      </c>
      <c r="D6" s="194">
        <v>95</v>
      </c>
      <c r="E6" s="89" t="s">
        <v>44</v>
      </c>
      <c r="F6" s="119" t="s">
        <v>1121</v>
      </c>
      <c r="G6" s="45" t="s">
        <v>1122</v>
      </c>
      <c r="H6" s="17" t="s">
        <v>1126</v>
      </c>
      <c r="I6" s="29" t="s">
        <v>14</v>
      </c>
      <c r="J6" s="47" t="s">
        <v>713</v>
      </c>
      <c r="K6" s="47" t="s">
        <v>92</v>
      </c>
      <c r="L6" s="27" t="s">
        <v>714</v>
      </c>
      <c r="M6" s="27" t="s">
        <v>21</v>
      </c>
      <c r="N6" s="47" t="s">
        <v>715</v>
      </c>
      <c r="O6" s="30" t="s">
        <v>23</v>
      </c>
      <c r="P6" s="30" t="s">
        <v>1127</v>
      </c>
    </row>
    <row r="7" spans="1:16" x14ac:dyDescent="0.2">
      <c r="A7" s="51" t="s">
        <v>718</v>
      </c>
      <c r="B7" s="51"/>
      <c r="C7" s="30" t="s">
        <v>14</v>
      </c>
      <c r="D7" s="193">
        <v>100</v>
      </c>
      <c r="E7" s="144"/>
      <c r="F7" s="145" t="s">
        <v>29</v>
      </c>
      <c r="G7" s="37"/>
      <c r="H7" s="17" t="s">
        <v>1128</v>
      </c>
      <c r="I7" s="29" t="s">
        <v>14</v>
      </c>
      <c r="J7" s="47" t="s">
        <v>744</v>
      </c>
      <c r="K7" s="47" t="s">
        <v>92</v>
      </c>
      <c r="L7" s="27" t="s">
        <v>745</v>
      </c>
      <c r="M7" s="27" t="s">
        <v>21</v>
      </c>
      <c r="N7" s="47" t="s">
        <v>746</v>
      </c>
      <c r="O7" s="27" t="s">
        <v>23</v>
      </c>
      <c r="P7" s="51" t="s">
        <v>1016</v>
      </c>
    </row>
    <row r="8" spans="1:16" x14ac:dyDescent="0.2">
      <c r="A8" s="51" t="s">
        <v>87</v>
      </c>
      <c r="B8" s="51"/>
      <c r="C8" s="30" t="s">
        <v>583</v>
      </c>
      <c r="D8" s="193">
        <v>107</v>
      </c>
      <c r="E8" s="36"/>
      <c r="F8" s="37" t="s">
        <v>29</v>
      </c>
      <c r="G8" s="38"/>
      <c r="H8" s="38"/>
      <c r="I8" s="47" t="s">
        <v>14</v>
      </c>
      <c r="J8" s="47" t="s">
        <v>1129</v>
      </c>
      <c r="K8" s="47" t="s">
        <v>1031</v>
      </c>
      <c r="L8" s="47" t="s">
        <v>1130</v>
      </c>
      <c r="M8" s="27" t="s">
        <v>21</v>
      </c>
      <c r="N8" s="47" t="s">
        <v>1131</v>
      </c>
      <c r="O8" s="27" t="s">
        <v>23</v>
      </c>
      <c r="P8" s="40"/>
    </row>
    <row r="9" spans="1:16" x14ac:dyDescent="0.2">
      <c r="A9" s="51" t="s">
        <v>87</v>
      </c>
      <c r="B9" s="51"/>
      <c r="C9" s="30" t="s">
        <v>14</v>
      </c>
      <c r="D9" s="193">
        <v>108</v>
      </c>
      <c r="E9" s="36"/>
      <c r="F9" s="37" t="s">
        <v>29</v>
      </c>
      <c r="G9" s="38"/>
      <c r="H9" s="38"/>
      <c r="I9" s="29" t="s">
        <v>14</v>
      </c>
      <c r="J9" s="47" t="s">
        <v>793</v>
      </c>
      <c r="K9" s="47" t="s">
        <v>92</v>
      </c>
      <c r="L9" s="47"/>
      <c r="M9" s="27" t="s">
        <v>21</v>
      </c>
      <c r="N9" s="39"/>
      <c r="O9" s="27" t="s">
        <v>23</v>
      </c>
      <c r="P9" s="40"/>
    </row>
    <row r="10" spans="1:16" x14ac:dyDescent="0.2">
      <c r="A10" s="51" t="s">
        <v>87</v>
      </c>
      <c r="B10" s="51"/>
      <c r="C10" s="30" t="s">
        <v>14</v>
      </c>
      <c r="D10" s="24">
        <v>113</v>
      </c>
      <c r="E10" s="92" t="s">
        <v>88</v>
      </c>
      <c r="F10" s="88" t="s">
        <v>748</v>
      </c>
      <c r="G10" s="45" t="s">
        <v>1132</v>
      </c>
      <c r="H10" s="45"/>
      <c r="I10" s="29" t="s">
        <v>14</v>
      </c>
      <c r="J10" s="27" t="s">
        <v>821</v>
      </c>
      <c r="K10" s="47" t="s">
        <v>92</v>
      </c>
      <c r="L10" s="27" t="s">
        <v>822</v>
      </c>
      <c r="M10" s="27" t="s">
        <v>21</v>
      </c>
      <c r="N10" s="39"/>
      <c r="O10" s="27" t="s">
        <v>23</v>
      </c>
      <c r="P10" s="1"/>
    </row>
    <row r="11" spans="1:16" x14ac:dyDescent="0.2">
      <c r="A11" s="51" t="s">
        <v>87</v>
      </c>
      <c r="B11" s="51"/>
      <c r="C11" s="30" t="s">
        <v>14</v>
      </c>
      <c r="D11" s="193">
        <v>124</v>
      </c>
      <c r="E11" s="92" t="s">
        <v>88</v>
      </c>
      <c r="F11" s="88" t="s">
        <v>892</v>
      </c>
      <c r="G11" s="45" t="s">
        <v>893</v>
      </c>
      <c r="H11" s="45"/>
      <c r="I11" s="29" t="s">
        <v>14</v>
      </c>
      <c r="J11" s="47" t="s">
        <v>894</v>
      </c>
      <c r="K11" s="47" t="s">
        <v>92</v>
      </c>
      <c r="L11" s="47" t="s">
        <v>895</v>
      </c>
      <c r="M11" s="25"/>
      <c r="N11" s="48"/>
      <c r="O11" s="30" t="s">
        <v>23</v>
      </c>
      <c r="P11" s="25"/>
    </row>
    <row r="12" spans="1:16" x14ac:dyDescent="0.2">
      <c r="A12" s="51" t="s">
        <v>87</v>
      </c>
      <c r="B12" s="51"/>
      <c r="C12" s="27" t="s">
        <v>14</v>
      </c>
      <c r="D12" s="195">
        <v>128</v>
      </c>
      <c r="E12" s="36"/>
      <c r="F12" s="37" t="s">
        <v>29</v>
      </c>
      <c r="G12" s="38"/>
      <c r="H12" s="38"/>
      <c r="I12" s="29" t="s">
        <v>14</v>
      </c>
      <c r="J12" s="47" t="s">
        <v>917</v>
      </c>
      <c r="K12" s="47" t="s">
        <v>92</v>
      </c>
      <c r="L12" s="27" t="s">
        <v>918</v>
      </c>
      <c r="M12" s="48"/>
      <c r="N12" s="48"/>
      <c r="O12" s="27" t="s">
        <v>23</v>
      </c>
      <c r="P12" s="25"/>
    </row>
    <row r="13" spans="1:16" x14ac:dyDescent="0.2">
      <c r="A13" s="51" t="s">
        <v>87</v>
      </c>
      <c r="B13" s="51"/>
      <c r="C13" s="27" t="s">
        <v>14</v>
      </c>
      <c r="D13" s="195">
        <v>129</v>
      </c>
      <c r="E13" s="79" t="s">
        <v>34</v>
      </c>
      <c r="F13" s="46" t="s">
        <v>919</v>
      </c>
      <c r="G13" s="88" t="s">
        <v>920</v>
      </c>
      <c r="H13" s="88"/>
      <c r="I13" s="47" t="s">
        <v>14</v>
      </c>
      <c r="J13" s="47" t="s">
        <v>921</v>
      </c>
      <c r="K13" s="47" t="s">
        <v>92</v>
      </c>
      <c r="L13" s="27" t="s">
        <v>1133</v>
      </c>
      <c r="M13" s="48"/>
      <c r="N13" s="48"/>
      <c r="O13" s="27" t="s">
        <v>23</v>
      </c>
      <c r="P13" s="40"/>
    </row>
    <row r="14" spans="1:16" x14ac:dyDescent="0.2">
      <c r="A14" s="51" t="s">
        <v>87</v>
      </c>
      <c r="B14" s="51"/>
      <c r="C14" s="27" t="s">
        <v>14</v>
      </c>
      <c r="D14" s="29">
        <v>131</v>
      </c>
      <c r="E14" s="89" t="s">
        <v>44</v>
      </c>
      <c r="F14" s="119" t="s">
        <v>931</v>
      </c>
      <c r="G14" s="45" t="s">
        <v>519</v>
      </c>
      <c r="H14" s="45"/>
      <c r="I14" s="29" t="s">
        <v>14</v>
      </c>
      <c r="J14" s="27" t="s">
        <v>932</v>
      </c>
      <c r="K14" s="47" t="s">
        <v>92</v>
      </c>
      <c r="L14" s="27" t="s">
        <v>933</v>
      </c>
      <c r="M14" s="25"/>
      <c r="N14" s="48"/>
      <c r="O14" s="30" t="s">
        <v>23</v>
      </c>
      <c r="P14" s="41"/>
    </row>
    <row r="15" spans="1:16" x14ac:dyDescent="0.2">
      <c r="A15" s="51" t="s">
        <v>87</v>
      </c>
      <c r="B15" s="51"/>
      <c r="C15" s="27" t="s">
        <v>14</v>
      </c>
      <c r="D15" s="195">
        <v>132</v>
      </c>
      <c r="E15" s="36"/>
      <c r="F15" s="37" t="s">
        <v>29</v>
      </c>
      <c r="G15" s="38"/>
      <c r="H15" s="38"/>
      <c r="I15" s="29" t="s">
        <v>14</v>
      </c>
      <c r="J15" s="47" t="s">
        <v>937</v>
      </c>
      <c r="K15" s="47" t="s">
        <v>92</v>
      </c>
      <c r="L15" s="27" t="s">
        <v>938</v>
      </c>
      <c r="M15" s="25"/>
      <c r="N15" s="48"/>
      <c r="O15" s="30" t="s">
        <v>23</v>
      </c>
      <c r="P15" s="41"/>
    </row>
    <row r="16" spans="1:16" x14ac:dyDescent="0.2">
      <c r="A16" s="47" t="s">
        <v>620</v>
      </c>
      <c r="B16" s="51"/>
      <c r="C16" s="27" t="s">
        <v>583</v>
      </c>
      <c r="D16" s="196">
        <v>134</v>
      </c>
      <c r="E16" s="89" t="s">
        <v>265</v>
      </c>
      <c r="F16" s="88" t="s">
        <v>947</v>
      </c>
      <c r="G16" s="45" t="s">
        <v>948</v>
      </c>
      <c r="H16" s="45"/>
      <c r="I16" s="29" t="s">
        <v>14</v>
      </c>
      <c r="J16" s="27" t="s">
        <v>949</v>
      </c>
      <c r="K16" s="47" t="s">
        <v>92</v>
      </c>
      <c r="L16" s="27"/>
      <c r="M16" s="25" t="s">
        <v>21</v>
      </c>
      <c r="N16" s="48" t="s">
        <v>688</v>
      </c>
      <c r="O16" s="30" t="s">
        <v>23</v>
      </c>
      <c r="P16" s="1"/>
    </row>
    <row r="17" spans="1:16" x14ac:dyDescent="0.2">
      <c r="A17" s="51" t="s">
        <v>620</v>
      </c>
      <c r="B17" s="51"/>
      <c r="C17" s="30" t="s">
        <v>14</v>
      </c>
      <c r="D17" s="193">
        <v>136</v>
      </c>
      <c r="E17" s="79" t="s">
        <v>549</v>
      </c>
      <c r="F17" s="46" t="s">
        <v>955</v>
      </c>
      <c r="G17" s="45" t="s">
        <v>956</v>
      </c>
      <c r="H17" s="45"/>
      <c r="I17" s="29" t="s">
        <v>14</v>
      </c>
      <c r="J17" s="47" t="s">
        <v>957</v>
      </c>
      <c r="K17" s="47" t="s">
        <v>92</v>
      </c>
      <c r="L17" s="47" t="s">
        <v>958</v>
      </c>
      <c r="M17" s="27" t="s">
        <v>58</v>
      </c>
      <c r="N17" s="48" t="s">
        <v>1134</v>
      </c>
      <c r="O17" s="27" t="s">
        <v>23</v>
      </c>
      <c r="P17" s="2"/>
    </row>
    <row r="18" spans="1:16" x14ac:dyDescent="0.2">
      <c r="A18" s="51" t="s">
        <v>620</v>
      </c>
      <c r="B18" s="52"/>
      <c r="C18" s="30" t="s">
        <v>14</v>
      </c>
      <c r="D18" s="105">
        <v>151</v>
      </c>
      <c r="E18" s="144"/>
      <c r="F18" s="145" t="s">
        <v>29</v>
      </c>
      <c r="G18" s="37"/>
      <c r="H18" s="37"/>
      <c r="I18" s="2" t="s">
        <v>14</v>
      </c>
      <c r="J18" s="87" t="s">
        <v>1041</v>
      </c>
      <c r="K18" s="47" t="s">
        <v>92</v>
      </c>
      <c r="L18" s="48" t="s">
        <v>1042</v>
      </c>
      <c r="M18" s="48"/>
      <c r="N18" s="25"/>
      <c r="O18" s="29" t="s">
        <v>23</v>
      </c>
      <c r="P18" s="51"/>
    </row>
    <row r="19" spans="1:16" x14ac:dyDescent="0.2">
      <c r="A19" s="51"/>
      <c r="B19" s="52"/>
      <c r="C19" s="30"/>
      <c r="D19" s="87">
        <v>152</v>
      </c>
      <c r="E19" s="144"/>
      <c r="F19" s="145" t="s">
        <v>29</v>
      </c>
      <c r="G19" s="37"/>
      <c r="H19" s="37"/>
      <c r="I19" s="197" t="s">
        <v>14</v>
      </c>
      <c r="J19" s="59" t="s">
        <v>1135</v>
      </c>
      <c r="K19" s="51"/>
      <c r="L19" s="48"/>
      <c r="M19" s="25"/>
      <c r="N19" s="25"/>
      <c r="O19" s="29" t="s">
        <v>23</v>
      </c>
      <c r="P19" s="25"/>
    </row>
    <row r="20" spans="1:16" x14ac:dyDescent="0.2">
      <c r="A20" s="52"/>
      <c r="B20" s="52"/>
      <c r="C20" s="30"/>
      <c r="D20" s="105">
        <v>153</v>
      </c>
      <c r="E20" s="144"/>
      <c r="F20" s="145" t="s">
        <v>29</v>
      </c>
      <c r="G20" s="37"/>
      <c r="H20" s="37"/>
      <c r="I20" s="29" t="s">
        <v>14</v>
      </c>
      <c r="J20" s="59" t="s">
        <v>1136</v>
      </c>
      <c r="K20" s="47"/>
      <c r="L20" s="48"/>
      <c r="M20" s="25"/>
      <c r="N20" s="48"/>
      <c r="O20" s="29" t="s">
        <v>23</v>
      </c>
      <c r="P20" s="25"/>
    </row>
    <row r="21" spans="1:16" x14ac:dyDescent="0.2">
      <c r="A21" s="52"/>
      <c r="B21" s="52"/>
      <c r="C21" s="30"/>
      <c r="D21" s="105">
        <v>154</v>
      </c>
      <c r="E21" s="144"/>
      <c r="F21" s="145" t="s">
        <v>29</v>
      </c>
      <c r="G21" s="37"/>
      <c r="H21" s="37"/>
      <c r="I21" s="29" t="s">
        <v>14</v>
      </c>
      <c r="J21" s="59" t="s">
        <v>1137</v>
      </c>
      <c r="K21" s="47"/>
      <c r="L21" s="48"/>
      <c r="M21" s="48"/>
      <c r="N21" s="48"/>
      <c r="O21" s="29" t="s">
        <v>23</v>
      </c>
      <c r="P21" s="25"/>
    </row>
    <row r="22" spans="1:16" x14ac:dyDescent="0.2">
      <c r="A22" s="52"/>
      <c r="B22" s="52"/>
      <c r="C22" s="30"/>
      <c r="D22" s="105">
        <v>155</v>
      </c>
      <c r="E22" s="144"/>
      <c r="F22" s="145" t="s">
        <v>29</v>
      </c>
      <c r="G22" s="37"/>
      <c r="H22" s="37"/>
      <c r="I22" s="29" t="s">
        <v>14</v>
      </c>
      <c r="J22" s="59" t="s">
        <v>1138</v>
      </c>
      <c r="K22" s="47"/>
      <c r="L22" s="48"/>
      <c r="M22" s="25"/>
      <c r="N22" s="48"/>
      <c r="O22" s="29" t="s">
        <v>23</v>
      </c>
      <c r="P22" s="25"/>
    </row>
    <row r="23" spans="1:16" x14ac:dyDescent="0.2">
      <c r="I23" s="29" t="s">
        <v>14</v>
      </c>
      <c r="J23" s="59" t="s">
        <v>1139</v>
      </c>
    </row>
    <row r="24" spans="1:16" x14ac:dyDescent="0.2">
      <c r="I24" s="29" t="s">
        <v>14</v>
      </c>
      <c r="J24" s="59" t="s">
        <v>1140</v>
      </c>
    </row>
    <row r="25" spans="1:16" x14ac:dyDescent="0.2">
      <c r="I25" s="29" t="s">
        <v>14</v>
      </c>
      <c r="J25" s="59" t="s">
        <v>1141</v>
      </c>
    </row>
    <row r="26" spans="1:16" x14ac:dyDescent="0.2">
      <c r="I26" s="29" t="s">
        <v>14</v>
      </c>
      <c r="J26" s="59" t="s">
        <v>1142</v>
      </c>
    </row>
    <row r="27" spans="1:16" x14ac:dyDescent="0.2">
      <c r="I27" s="29" t="s">
        <v>14</v>
      </c>
      <c r="J27" s="59" t="s">
        <v>1143</v>
      </c>
    </row>
    <row r="28" spans="1:16" x14ac:dyDescent="0.2">
      <c r="I28" s="29" t="s">
        <v>14</v>
      </c>
      <c r="J28" s="59" t="s">
        <v>1144</v>
      </c>
    </row>
    <row r="29" spans="1:16" x14ac:dyDescent="0.2">
      <c r="M29" s="27" t="s">
        <v>58</v>
      </c>
      <c r="N29" s="48" t="s">
        <v>823</v>
      </c>
    </row>
    <row r="30" spans="1:16" x14ac:dyDescent="0.2">
      <c r="M30" s="27" t="s">
        <v>58</v>
      </c>
      <c r="N30" s="48" t="s">
        <v>1145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workbookViewId="0"/>
  </sheetViews>
  <sheetFormatPr defaultRowHeight="12.75" x14ac:dyDescent="0.2"/>
  <sheetData>
    <row r="1" spans="1:19" ht="15" x14ac:dyDescent="0.2">
      <c r="A1" s="201" t="s">
        <v>1146</v>
      </c>
      <c r="B1" s="201" t="s">
        <v>1147</v>
      </c>
      <c r="C1" s="201" t="s">
        <v>1148</v>
      </c>
      <c r="D1" s="202" t="s">
        <v>1149</v>
      </c>
      <c r="E1" s="201" t="s">
        <v>14</v>
      </c>
      <c r="F1" s="201" t="s">
        <v>583</v>
      </c>
      <c r="G1" s="201" t="s">
        <v>1150</v>
      </c>
      <c r="H1" s="201" t="s">
        <v>41</v>
      </c>
      <c r="I1" s="201" t="s">
        <v>360</v>
      </c>
      <c r="J1" s="201" t="s">
        <v>92</v>
      </c>
      <c r="K1" s="201" t="s">
        <v>19</v>
      </c>
      <c r="L1" s="201" t="s">
        <v>1031</v>
      </c>
      <c r="M1" s="201" t="s">
        <v>74</v>
      </c>
      <c r="N1" s="201" t="s">
        <v>316</v>
      </c>
      <c r="O1" s="201" t="s">
        <v>331</v>
      </c>
      <c r="P1" s="201" t="s">
        <v>21</v>
      </c>
      <c r="Q1" s="201" t="s">
        <v>58</v>
      </c>
      <c r="R1" s="201" t="s">
        <v>23</v>
      </c>
      <c r="S1" s="201" t="s">
        <v>139</v>
      </c>
    </row>
    <row r="2" spans="1:19" ht="15" x14ac:dyDescent="0.25">
      <c r="C2" s="198" t="s">
        <v>1151</v>
      </c>
      <c r="D2" s="199">
        <v>1</v>
      </c>
      <c r="E2" s="198" t="s">
        <v>18</v>
      </c>
      <c r="K2" s="198" t="s">
        <v>20</v>
      </c>
      <c r="P2" s="198" t="s">
        <v>22</v>
      </c>
      <c r="R2" s="198" t="s">
        <v>24</v>
      </c>
    </row>
    <row r="3" spans="1:19" ht="15" x14ac:dyDescent="0.25">
      <c r="C3" s="198" t="s">
        <v>1152</v>
      </c>
      <c r="D3" s="199">
        <v>3</v>
      </c>
      <c r="E3" s="198" t="s">
        <v>37</v>
      </c>
      <c r="H3" s="198" t="s">
        <v>42</v>
      </c>
      <c r="K3" s="198" t="s">
        <v>38</v>
      </c>
      <c r="P3" s="198" t="s">
        <v>39</v>
      </c>
      <c r="R3" s="198" t="s">
        <v>40</v>
      </c>
    </row>
    <row r="4" spans="1:19" ht="15" x14ac:dyDescent="0.25">
      <c r="C4" s="198" t="s">
        <v>1153</v>
      </c>
      <c r="D4" s="199">
        <v>4</v>
      </c>
      <c r="E4" s="198" t="s">
        <v>46</v>
      </c>
      <c r="K4" s="198" t="s">
        <v>47</v>
      </c>
      <c r="P4" s="198" t="s">
        <v>48</v>
      </c>
      <c r="R4" s="198" t="s">
        <v>49</v>
      </c>
    </row>
    <row r="5" spans="1:19" ht="15" x14ac:dyDescent="0.25">
      <c r="C5" s="198" t="s">
        <v>1154</v>
      </c>
      <c r="D5" s="199">
        <v>5</v>
      </c>
      <c r="E5" s="198" t="s">
        <v>56</v>
      </c>
      <c r="K5" s="198" t="s">
        <v>57</v>
      </c>
      <c r="Q5" s="198" t="s">
        <v>59</v>
      </c>
      <c r="R5" s="198" t="s">
        <v>60</v>
      </c>
    </row>
    <row r="6" spans="1:19" ht="15" x14ac:dyDescent="0.25">
      <c r="C6" s="198" t="s">
        <v>1155</v>
      </c>
      <c r="D6" s="199">
        <v>6</v>
      </c>
      <c r="E6" s="198" t="s">
        <v>64</v>
      </c>
      <c r="K6" s="198" t="s">
        <v>65</v>
      </c>
      <c r="P6" s="198" t="s">
        <v>66</v>
      </c>
      <c r="R6" s="198" t="s">
        <v>67</v>
      </c>
    </row>
    <row r="7" spans="1:19" ht="15" x14ac:dyDescent="0.25">
      <c r="C7" s="198" t="s">
        <v>1156</v>
      </c>
      <c r="D7" s="199">
        <v>7</v>
      </c>
      <c r="E7" s="198" t="s">
        <v>73</v>
      </c>
      <c r="F7" s="198" t="s">
        <v>1115</v>
      </c>
      <c r="M7" s="198" t="s">
        <v>75</v>
      </c>
      <c r="Q7" s="198" t="s">
        <v>76</v>
      </c>
      <c r="R7" s="198" t="s">
        <v>77</v>
      </c>
    </row>
    <row r="8" spans="1:19" ht="15" x14ac:dyDescent="0.25">
      <c r="C8" s="198" t="s">
        <v>1157</v>
      </c>
      <c r="D8" s="199">
        <v>8</v>
      </c>
      <c r="E8" s="198" t="s">
        <v>82</v>
      </c>
      <c r="K8" s="198" t="s">
        <v>83</v>
      </c>
      <c r="P8" s="198" t="s">
        <v>84</v>
      </c>
      <c r="R8" s="198" t="s">
        <v>85</v>
      </c>
    </row>
    <row r="9" spans="1:19" ht="15" x14ac:dyDescent="0.25">
      <c r="C9" s="198" t="s">
        <v>1158</v>
      </c>
      <c r="D9" s="199">
        <v>9</v>
      </c>
      <c r="E9" s="198" t="s">
        <v>91</v>
      </c>
      <c r="J9" s="198" t="s">
        <v>93</v>
      </c>
      <c r="P9" s="198" t="s">
        <v>94</v>
      </c>
      <c r="R9" s="198" t="s">
        <v>95</v>
      </c>
    </row>
    <row r="10" spans="1:19" ht="15" x14ac:dyDescent="0.25">
      <c r="C10" s="198" t="s">
        <v>1159</v>
      </c>
      <c r="D10" s="199">
        <v>10</v>
      </c>
      <c r="E10" s="198" t="s">
        <v>99</v>
      </c>
      <c r="F10" s="198" t="s">
        <v>1111</v>
      </c>
      <c r="K10" s="198">
        <v>525138</v>
      </c>
      <c r="P10" s="198" t="s">
        <v>1160</v>
      </c>
      <c r="R10" s="198" t="s">
        <v>100</v>
      </c>
    </row>
    <row r="11" spans="1:19" ht="15" x14ac:dyDescent="0.25">
      <c r="C11" s="198" t="s">
        <v>1161</v>
      </c>
      <c r="D11" s="199">
        <v>11</v>
      </c>
      <c r="E11" s="198" t="s">
        <v>105</v>
      </c>
      <c r="K11" s="198" t="s">
        <v>106</v>
      </c>
      <c r="P11" s="198" t="s">
        <v>107</v>
      </c>
      <c r="R11" s="198" t="s">
        <v>108</v>
      </c>
    </row>
    <row r="12" spans="1:19" ht="15" x14ac:dyDescent="0.25">
      <c r="C12" s="198" t="s">
        <v>1162</v>
      </c>
      <c r="D12" s="199">
        <v>12</v>
      </c>
      <c r="E12" s="198" t="s">
        <v>112</v>
      </c>
      <c r="F12" s="198" t="s">
        <v>1117</v>
      </c>
      <c r="K12" s="198">
        <v>518624</v>
      </c>
      <c r="Q12" s="198" t="s">
        <v>1163</v>
      </c>
      <c r="R12" s="198" t="s">
        <v>114</v>
      </c>
    </row>
    <row r="13" spans="1:19" ht="15" x14ac:dyDescent="0.25">
      <c r="C13" s="198" t="s">
        <v>1164</v>
      </c>
      <c r="D13" s="199">
        <v>14</v>
      </c>
      <c r="E13" s="198" t="s">
        <v>130</v>
      </c>
      <c r="K13" s="198" t="s">
        <v>131</v>
      </c>
      <c r="P13" s="198" t="s">
        <v>132</v>
      </c>
      <c r="R13" s="198" t="s">
        <v>133</v>
      </c>
    </row>
    <row r="14" spans="1:19" ht="15" x14ac:dyDescent="0.25">
      <c r="C14" s="198" t="s">
        <v>1165</v>
      </c>
      <c r="D14" s="199">
        <v>15</v>
      </c>
      <c r="E14" s="198" t="s">
        <v>136</v>
      </c>
      <c r="K14" s="198" t="s">
        <v>137</v>
      </c>
      <c r="P14" s="198" t="s">
        <v>138</v>
      </c>
      <c r="S14" s="198">
        <v>4072</v>
      </c>
    </row>
    <row r="15" spans="1:19" ht="15" x14ac:dyDescent="0.25">
      <c r="C15" s="198" t="s">
        <v>1166</v>
      </c>
      <c r="D15" s="199">
        <v>16</v>
      </c>
      <c r="E15" s="198" t="s">
        <v>144</v>
      </c>
      <c r="K15" s="198" t="s">
        <v>145</v>
      </c>
      <c r="P15" s="198" t="s">
        <v>146</v>
      </c>
      <c r="R15" s="198" t="s">
        <v>147</v>
      </c>
    </row>
    <row r="16" spans="1:19" ht="15" x14ac:dyDescent="0.25">
      <c r="A16" s="203"/>
      <c r="B16" s="203"/>
      <c r="C16" s="203" t="s">
        <v>1167</v>
      </c>
      <c r="D16" s="204">
        <v>17</v>
      </c>
      <c r="E16" s="203" t="s">
        <v>151</v>
      </c>
      <c r="F16" s="203"/>
      <c r="G16" s="203"/>
      <c r="H16" s="203"/>
      <c r="I16" s="203"/>
      <c r="K16" s="198" t="s">
        <v>152</v>
      </c>
      <c r="L16" s="203"/>
      <c r="M16" s="203"/>
      <c r="N16" s="203"/>
      <c r="O16" s="203"/>
      <c r="P16" s="203" t="s">
        <v>153</v>
      </c>
      <c r="R16" s="198">
        <v>6543972</v>
      </c>
    </row>
    <row r="17" spans="1:19" ht="15" x14ac:dyDescent="0.25">
      <c r="C17" s="198" t="s">
        <v>1168</v>
      </c>
      <c r="D17" s="199">
        <v>18</v>
      </c>
      <c r="E17" s="198" t="s">
        <v>158</v>
      </c>
      <c r="H17" s="198" t="s">
        <v>163</v>
      </c>
      <c r="K17" s="198" t="s">
        <v>159</v>
      </c>
      <c r="P17" s="198" t="s">
        <v>160</v>
      </c>
      <c r="R17" s="198" t="s">
        <v>161</v>
      </c>
    </row>
    <row r="18" spans="1:19" ht="15" x14ac:dyDescent="0.25">
      <c r="C18" s="198" t="s">
        <v>1169</v>
      </c>
      <c r="D18" s="199">
        <v>19</v>
      </c>
      <c r="E18" s="198" t="s">
        <v>166</v>
      </c>
      <c r="F18" s="198" t="s">
        <v>1119</v>
      </c>
      <c r="K18" s="198" t="s">
        <v>167</v>
      </c>
      <c r="P18" s="198" t="s">
        <v>1170</v>
      </c>
      <c r="R18" s="198">
        <v>6542858</v>
      </c>
    </row>
    <row r="19" spans="1:19" ht="15" x14ac:dyDescent="0.25">
      <c r="C19" s="198" t="s">
        <v>1171</v>
      </c>
      <c r="D19" s="199">
        <v>20</v>
      </c>
      <c r="E19" s="198" t="s">
        <v>176</v>
      </c>
      <c r="K19" s="198" t="s">
        <v>177</v>
      </c>
      <c r="P19" s="198" t="s">
        <v>178</v>
      </c>
      <c r="R19" s="198" t="s">
        <v>179</v>
      </c>
    </row>
    <row r="20" spans="1:19" ht="15" x14ac:dyDescent="0.25">
      <c r="A20" s="203"/>
      <c r="B20" s="203"/>
      <c r="C20" s="203" t="s">
        <v>1172</v>
      </c>
      <c r="D20" s="204">
        <v>21</v>
      </c>
      <c r="E20" s="203" t="s">
        <v>183</v>
      </c>
      <c r="F20" s="203"/>
      <c r="G20" s="203"/>
      <c r="H20" s="203"/>
      <c r="I20" s="203"/>
      <c r="K20" s="198" t="s">
        <v>184</v>
      </c>
      <c r="L20" s="203"/>
      <c r="M20" s="203"/>
      <c r="N20" s="203"/>
      <c r="O20" s="203"/>
      <c r="P20" s="203" t="s">
        <v>185</v>
      </c>
      <c r="R20" s="198" t="s">
        <v>186</v>
      </c>
    </row>
    <row r="21" spans="1:19" ht="15" x14ac:dyDescent="0.25">
      <c r="C21" s="198" t="s">
        <v>1173</v>
      </c>
      <c r="D21" s="199">
        <v>22</v>
      </c>
      <c r="E21" s="198" t="s">
        <v>191</v>
      </c>
      <c r="K21" s="198" t="s">
        <v>192</v>
      </c>
      <c r="P21" s="198" t="s">
        <v>193</v>
      </c>
      <c r="R21" s="198" t="s">
        <v>194</v>
      </c>
    </row>
    <row r="22" spans="1:19" ht="15" x14ac:dyDescent="0.25">
      <c r="C22" s="198" t="s">
        <v>1174</v>
      </c>
      <c r="D22" s="199">
        <v>23</v>
      </c>
      <c r="E22" s="198" t="s">
        <v>200</v>
      </c>
      <c r="K22" s="198" t="s">
        <v>201</v>
      </c>
      <c r="P22" s="198" t="s">
        <v>202</v>
      </c>
      <c r="R22" s="198" t="s">
        <v>203</v>
      </c>
    </row>
    <row r="23" spans="1:19" ht="15" x14ac:dyDescent="0.25">
      <c r="C23" s="198" t="s">
        <v>1175</v>
      </c>
      <c r="D23" s="199">
        <v>24</v>
      </c>
      <c r="E23" s="198" t="s">
        <v>207</v>
      </c>
      <c r="F23" s="198" t="s">
        <v>1109</v>
      </c>
      <c r="M23" s="198" t="s">
        <v>208</v>
      </c>
      <c r="P23" s="198" t="s">
        <v>209</v>
      </c>
      <c r="R23" s="198" t="s">
        <v>210</v>
      </c>
    </row>
    <row r="24" spans="1:19" ht="15" x14ac:dyDescent="0.25">
      <c r="A24" s="203"/>
      <c r="B24" s="203"/>
      <c r="C24" s="203" t="s">
        <v>1176</v>
      </c>
      <c r="D24" s="204">
        <v>25</v>
      </c>
      <c r="E24" s="203" t="s">
        <v>219</v>
      </c>
      <c r="F24" s="203"/>
      <c r="G24" s="203"/>
      <c r="H24" s="203" t="s">
        <v>223</v>
      </c>
      <c r="I24" s="203"/>
      <c r="K24" s="198" t="s">
        <v>220</v>
      </c>
      <c r="L24" s="203"/>
      <c r="M24" s="203"/>
      <c r="N24" s="203"/>
      <c r="O24" s="203"/>
      <c r="P24" s="203" t="s">
        <v>221</v>
      </c>
      <c r="R24" s="198" t="s">
        <v>222</v>
      </c>
    </row>
    <row r="25" spans="1:19" ht="15" x14ac:dyDescent="0.25">
      <c r="C25" s="198" t="s">
        <v>1177</v>
      </c>
      <c r="D25" s="199">
        <v>26</v>
      </c>
      <c r="E25" s="198" t="s">
        <v>227</v>
      </c>
      <c r="K25" s="198" t="s">
        <v>228</v>
      </c>
      <c r="P25" s="198" t="s">
        <v>229</v>
      </c>
      <c r="R25" s="198" t="s">
        <v>230</v>
      </c>
    </row>
    <row r="26" spans="1:19" ht="15" x14ac:dyDescent="0.25">
      <c r="C26" s="198" t="s">
        <v>1178</v>
      </c>
      <c r="D26" s="199">
        <v>27</v>
      </c>
      <c r="E26" s="198" t="s">
        <v>232</v>
      </c>
      <c r="K26" s="198" t="s">
        <v>233</v>
      </c>
      <c r="P26" s="198" t="s">
        <v>234</v>
      </c>
      <c r="R26" s="198" t="s">
        <v>235</v>
      </c>
    </row>
    <row r="27" spans="1:19" ht="15" x14ac:dyDescent="0.25">
      <c r="C27" s="198" t="s">
        <v>1179</v>
      </c>
      <c r="D27" s="199">
        <v>28</v>
      </c>
      <c r="E27" s="198" t="s">
        <v>240</v>
      </c>
      <c r="K27" s="198" t="s">
        <v>241</v>
      </c>
      <c r="P27" s="198" t="s">
        <v>242</v>
      </c>
      <c r="S27" s="198">
        <v>4192</v>
      </c>
    </row>
    <row r="28" spans="1:19" ht="15" x14ac:dyDescent="0.25">
      <c r="C28" s="198" t="s">
        <v>1180</v>
      </c>
      <c r="D28" s="199">
        <v>29</v>
      </c>
      <c r="E28" s="198" t="s">
        <v>246</v>
      </c>
      <c r="K28" s="198" t="s">
        <v>247</v>
      </c>
      <c r="P28" s="198" t="s">
        <v>248</v>
      </c>
      <c r="R28" s="198" t="s">
        <v>249</v>
      </c>
    </row>
    <row r="29" spans="1:19" ht="15" x14ac:dyDescent="0.25">
      <c r="C29" s="198" t="s">
        <v>1181</v>
      </c>
      <c r="D29" s="199">
        <v>30</v>
      </c>
      <c r="E29" s="198" t="s">
        <v>254</v>
      </c>
      <c r="F29" s="198" t="s">
        <v>1113</v>
      </c>
      <c r="K29" s="198" t="s">
        <v>255</v>
      </c>
      <c r="P29" s="198" t="s">
        <v>256</v>
      </c>
      <c r="R29" s="198" t="s">
        <v>257</v>
      </c>
    </row>
    <row r="30" spans="1:19" ht="15" x14ac:dyDescent="0.25">
      <c r="C30" s="198" t="s">
        <v>1182</v>
      </c>
      <c r="D30" s="199">
        <v>31</v>
      </c>
      <c r="E30" s="198" t="s">
        <v>268</v>
      </c>
      <c r="K30" s="198" t="s">
        <v>269</v>
      </c>
      <c r="P30" s="198" t="s">
        <v>270</v>
      </c>
      <c r="R30" s="198" t="s">
        <v>271</v>
      </c>
    </row>
    <row r="31" spans="1:19" ht="15" x14ac:dyDescent="0.25">
      <c r="C31" s="198" t="s">
        <v>1183</v>
      </c>
      <c r="D31" s="199">
        <v>32</v>
      </c>
      <c r="E31" s="198" t="s">
        <v>275</v>
      </c>
      <c r="L31" s="198" t="s">
        <v>277</v>
      </c>
      <c r="P31" s="198" t="s">
        <v>278</v>
      </c>
      <c r="R31" s="198">
        <v>5045</v>
      </c>
    </row>
    <row r="32" spans="1:19" ht="15" x14ac:dyDescent="0.25">
      <c r="C32" s="198" t="s">
        <v>1184</v>
      </c>
      <c r="D32" s="199">
        <v>33</v>
      </c>
      <c r="E32" s="198" t="s">
        <v>282</v>
      </c>
      <c r="K32" s="198" t="s">
        <v>283</v>
      </c>
      <c r="P32" s="198" t="s">
        <v>284</v>
      </c>
      <c r="R32" s="198" t="s">
        <v>285</v>
      </c>
    </row>
    <row r="33" spans="1:18" ht="15" x14ac:dyDescent="0.25">
      <c r="C33" s="198" t="s">
        <v>1185</v>
      </c>
      <c r="D33" s="199">
        <v>34</v>
      </c>
      <c r="E33" s="198" t="s">
        <v>290</v>
      </c>
      <c r="J33" s="198" t="s">
        <v>291</v>
      </c>
      <c r="P33" s="198" t="s">
        <v>292</v>
      </c>
      <c r="R33" s="198">
        <v>74106843</v>
      </c>
    </row>
    <row r="34" spans="1:18" ht="15" x14ac:dyDescent="0.25">
      <c r="A34" s="203"/>
      <c r="B34" s="203"/>
      <c r="C34" s="203" t="s">
        <v>1186</v>
      </c>
      <c r="D34" s="204">
        <v>35</v>
      </c>
      <c r="E34" s="203" t="s">
        <v>296</v>
      </c>
      <c r="F34" s="203"/>
      <c r="G34" s="203"/>
      <c r="H34" s="203"/>
      <c r="I34" s="203"/>
      <c r="J34" s="203" t="s">
        <v>297</v>
      </c>
      <c r="K34" s="203"/>
      <c r="L34" s="203"/>
      <c r="M34" s="203"/>
      <c r="N34" s="203"/>
      <c r="O34" s="203"/>
      <c r="P34" s="203" t="s">
        <v>298</v>
      </c>
      <c r="R34" s="198" t="s">
        <v>299</v>
      </c>
    </row>
    <row r="35" spans="1:18" ht="15" x14ac:dyDescent="0.25">
      <c r="A35" s="203"/>
      <c r="B35" s="203"/>
      <c r="C35" s="203" t="s">
        <v>1187</v>
      </c>
      <c r="D35" s="204">
        <v>36</v>
      </c>
      <c r="E35" s="203" t="s">
        <v>302</v>
      </c>
      <c r="F35" s="203"/>
      <c r="G35" s="203"/>
      <c r="H35" s="203"/>
      <c r="I35" s="203"/>
      <c r="J35" s="203" t="s">
        <v>303</v>
      </c>
      <c r="K35" s="203"/>
      <c r="L35" s="203"/>
      <c r="M35" s="203"/>
      <c r="N35" s="203"/>
      <c r="O35" s="203"/>
      <c r="P35" s="198" t="s">
        <v>304</v>
      </c>
      <c r="Q35" s="203"/>
      <c r="R35" s="198">
        <v>74106820</v>
      </c>
    </row>
    <row r="36" spans="1:18" ht="15" x14ac:dyDescent="0.25">
      <c r="C36" s="198" t="s">
        <v>1188</v>
      </c>
      <c r="D36" s="199">
        <v>37</v>
      </c>
      <c r="E36" s="198" t="s">
        <v>307</v>
      </c>
      <c r="J36" s="198" t="s">
        <v>308</v>
      </c>
      <c r="P36" s="198" t="s">
        <v>309</v>
      </c>
      <c r="R36" s="198">
        <v>6541109</v>
      </c>
    </row>
    <row r="37" spans="1:18" ht="15" x14ac:dyDescent="0.25">
      <c r="C37" s="198" t="s">
        <v>1189</v>
      </c>
      <c r="D37" s="199">
        <v>38</v>
      </c>
      <c r="E37" s="198" t="s">
        <v>312</v>
      </c>
      <c r="J37" s="198" t="s">
        <v>313</v>
      </c>
      <c r="N37" s="198" t="s">
        <v>1190</v>
      </c>
      <c r="P37" s="198" t="s">
        <v>314</v>
      </c>
      <c r="R37" s="198" t="s">
        <v>315</v>
      </c>
    </row>
    <row r="38" spans="1:18" ht="15" x14ac:dyDescent="0.25">
      <c r="C38" s="198" t="s">
        <v>1191</v>
      </c>
      <c r="D38" s="199">
        <v>39</v>
      </c>
      <c r="E38" s="198" t="s">
        <v>320</v>
      </c>
      <c r="J38" s="198" t="s">
        <v>321</v>
      </c>
      <c r="P38" s="198" t="s">
        <v>322</v>
      </c>
      <c r="R38" s="198" t="s">
        <v>323</v>
      </c>
    </row>
    <row r="39" spans="1:18" ht="15" x14ac:dyDescent="0.25">
      <c r="A39" s="203"/>
      <c r="B39" s="203"/>
      <c r="C39" s="203" t="s">
        <v>1192</v>
      </c>
      <c r="D39" s="204">
        <v>40</v>
      </c>
      <c r="E39" s="203" t="s">
        <v>327</v>
      </c>
      <c r="F39" s="203"/>
      <c r="G39" s="203"/>
      <c r="H39" s="203"/>
      <c r="I39" s="203"/>
      <c r="J39" s="203" t="s">
        <v>328</v>
      </c>
      <c r="K39" s="203"/>
      <c r="L39" s="203"/>
      <c r="M39" s="203"/>
      <c r="N39" s="203"/>
      <c r="O39" s="203" t="s">
        <v>1193</v>
      </c>
      <c r="P39" s="203" t="s">
        <v>329</v>
      </c>
      <c r="R39" s="198" t="s">
        <v>330</v>
      </c>
    </row>
    <row r="40" spans="1:18" ht="15" x14ac:dyDescent="0.25">
      <c r="A40" s="203"/>
      <c r="B40" s="203"/>
      <c r="C40" s="203" t="s">
        <v>1194</v>
      </c>
      <c r="D40" s="204">
        <v>41</v>
      </c>
      <c r="E40" s="203" t="s">
        <v>335</v>
      </c>
      <c r="F40" s="203"/>
      <c r="G40" s="203"/>
      <c r="H40" s="203"/>
      <c r="I40" s="203"/>
      <c r="J40" s="203" t="s">
        <v>336</v>
      </c>
      <c r="K40" s="203"/>
      <c r="L40" s="203"/>
      <c r="M40" s="203"/>
      <c r="N40" s="203"/>
      <c r="O40" s="203"/>
      <c r="P40" s="203" t="s">
        <v>337</v>
      </c>
      <c r="R40" s="198" t="s">
        <v>338</v>
      </c>
    </row>
    <row r="41" spans="1:18" ht="15" x14ac:dyDescent="0.25">
      <c r="C41" s="198" t="s">
        <v>1195</v>
      </c>
      <c r="D41" s="199">
        <v>42</v>
      </c>
      <c r="E41" s="198" t="s">
        <v>342</v>
      </c>
      <c r="J41" s="198" t="s">
        <v>343</v>
      </c>
      <c r="P41" s="198" t="s">
        <v>344</v>
      </c>
      <c r="R41" s="198" t="s">
        <v>345</v>
      </c>
    </row>
    <row r="42" spans="1:18" ht="15" x14ac:dyDescent="0.25">
      <c r="C42" s="198" t="s">
        <v>1196</v>
      </c>
      <c r="D42" s="199">
        <v>43</v>
      </c>
      <c r="E42" s="198" t="s">
        <v>348</v>
      </c>
      <c r="J42" s="198" t="s">
        <v>349</v>
      </c>
      <c r="O42" s="198" t="s">
        <v>1197</v>
      </c>
      <c r="P42" s="198" t="s">
        <v>350</v>
      </c>
      <c r="R42" s="198" t="s">
        <v>351</v>
      </c>
    </row>
    <row r="43" spans="1:18" ht="15" x14ac:dyDescent="0.25">
      <c r="C43" s="198" t="s">
        <v>1198</v>
      </c>
      <c r="D43" s="199">
        <v>44</v>
      </c>
      <c r="E43" s="198" t="s">
        <v>354</v>
      </c>
      <c r="J43" s="198" t="s">
        <v>355</v>
      </c>
      <c r="P43" s="198" t="s">
        <v>356</v>
      </c>
      <c r="R43" s="198" t="s">
        <v>357</v>
      </c>
    </row>
    <row r="44" spans="1:18" ht="15" x14ac:dyDescent="0.25">
      <c r="C44" s="198" t="s">
        <v>1198</v>
      </c>
      <c r="D44" s="199">
        <v>44</v>
      </c>
      <c r="G44" s="198" t="s">
        <v>359</v>
      </c>
      <c r="I44" s="198" t="s">
        <v>361</v>
      </c>
      <c r="P44" s="198" t="s">
        <v>362</v>
      </c>
    </row>
    <row r="45" spans="1:18" ht="15" x14ac:dyDescent="0.25">
      <c r="C45" s="198" t="s">
        <v>1199</v>
      </c>
      <c r="D45" s="199">
        <v>45</v>
      </c>
      <c r="E45" s="198" t="s">
        <v>366</v>
      </c>
      <c r="J45" s="198" t="s">
        <v>367</v>
      </c>
      <c r="P45" s="198" t="s">
        <v>368</v>
      </c>
      <c r="R45" s="198" t="s">
        <v>369</v>
      </c>
    </row>
    <row r="46" spans="1:18" ht="15" x14ac:dyDescent="0.25">
      <c r="C46" s="198" t="s">
        <v>1200</v>
      </c>
      <c r="D46" s="199">
        <v>46</v>
      </c>
      <c r="E46" s="198" t="s">
        <v>372</v>
      </c>
      <c r="J46" s="198" t="s">
        <v>373</v>
      </c>
      <c r="P46" s="198" t="s">
        <v>374</v>
      </c>
      <c r="R46" s="198" t="s">
        <v>375</v>
      </c>
    </row>
    <row r="47" spans="1:18" ht="15" x14ac:dyDescent="0.25">
      <c r="C47" s="198" t="s">
        <v>1201</v>
      </c>
      <c r="D47" s="199">
        <v>47</v>
      </c>
      <c r="E47" s="198" t="s">
        <v>379</v>
      </c>
      <c r="J47" s="198" t="s">
        <v>380</v>
      </c>
      <c r="P47" s="198" t="s">
        <v>381</v>
      </c>
      <c r="R47" s="198" t="s">
        <v>382</v>
      </c>
    </row>
    <row r="48" spans="1:18" ht="15" x14ac:dyDescent="0.25">
      <c r="A48" s="203"/>
      <c r="B48" s="203"/>
      <c r="C48" s="203" t="s">
        <v>1202</v>
      </c>
      <c r="D48" s="204">
        <v>48</v>
      </c>
      <c r="E48" s="203" t="s">
        <v>385</v>
      </c>
      <c r="F48" s="203"/>
      <c r="G48" s="203"/>
      <c r="H48" s="203"/>
      <c r="I48" s="203"/>
      <c r="J48" s="203" t="s">
        <v>386</v>
      </c>
      <c r="K48" s="203"/>
      <c r="L48" s="203"/>
      <c r="M48" s="203"/>
      <c r="N48" s="203"/>
      <c r="O48" s="203" t="s">
        <v>1203</v>
      </c>
      <c r="Q48" s="198" t="s">
        <v>387</v>
      </c>
      <c r="R48" s="198" t="s">
        <v>388</v>
      </c>
    </row>
    <row r="49" spans="3:18" ht="15" x14ac:dyDescent="0.25">
      <c r="C49" s="198" t="s">
        <v>1204</v>
      </c>
      <c r="D49" s="199">
        <v>49</v>
      </c>
      <c r="E49" s="198" t="s">
        <v>392</v>
      </c>
      <c r="J49" s="198" t="s">
        <v>393</v>
      </c>
      <c r="P49" s="198" t="s">
        <v>394</v>
      </c>
      <c r="R49" s="198">
        <v>6542853</v>
      </c>
    </row>
    <row r="50" spans="3:18" ht="15" x14ac:dyDescent="0.25">
      <c r="C50" s="198" t="s">
        <v>1205</v>
      </c>
      <c r="D50" s="199">
        <v>50</v>
      </c>
      <c r="E50" s="198" t="s">
        <v>398</v>
      </c>
      <c r="J50" s="198" t="s">
        <v>399</v>
      </c>
      <c r="P50" s="198" t="s">
        <v>400</v>
      </c>
      <c r="R50" s="198" t="s">
        <v>401</v>
      </c>
    </row>
    <row r="51" spans="3:18" ht="15" x14ac:dyDescent="0.25">
      <c r="C51" s="198" t="s">
        <v>1206</v>
      </c>
      <c r="D51" s="199">
        <v>51</v>
      </c>
      <c r="E51" s="198" t="s">
        <v>405</v>
      </c>
      <c r="J51" s="198" t="s">
        <v>406</v>
      </c>
      <c r="P51" s="198" t="s">
        <v>407</v>
      </c>
      <c r="R51" s="198" t="s">
        <v>408</v>
      </c>
    </row>
    <row r="52" spans="3:18" ht="15" x14ac:dyDescent="0.25">
      <c r="C52" s="198" t="s">
        <v>1207</v>
      </c>
      <c r="D52" s="199">
        <v>52</v>
      </c>
      <c r="E52" s="198" t="s">
        <v>412</v>
      </c>
      <c r="H52" s="200"/>
      <c r="J52" s="198" t="s">
        <v>413</v>
      </c>
      <c r="P52" s="198" t="s">
        <v>414</v>
      </c>
      <c r="R52" s="198" t="s">
        <v>415</v>
      </c>
    </row>
    <row r="53" spans="3:18" ht="15" x14ac:dyDescent="0.25">
      <c r="C53" s="198" t="s">
        <v>1208</v>
      </c>
      <c r="D53" s="199">
        <v>53</v>
      </c>
      <c r="E53" s="198" t="s">
        <v>418</v>
      </c>
      <c r="J53" s="198" t="s">
        <v>419</v>
      </c>
      <c r="P53" s="198" t="s">
        <v>420</v>
      </c>
      <c r="R53" s="198">
        <v>6550542</v>
      </c>
    </row>
    <row r="54" spans="3:18" ht="15" x14ac:dyDescent="0.25">
      <c r="C54" s="198" t="s">
        <v>1208</v>
      </c>
      <c r="D54" s="199">
        <v>53</v>
      </c>
      <c r="G54" s="198" t="s">
        <v>421</v>
      </c>
      <c r="I54" s="198" t="s">
        <v>422</v>
      </c>
      <c r="P54" s="198" t="s">
        <v>1209</v>
      </c>
    </row>
    <row r="55" spans="3:18" ht="15" x14ac:dyDescent="0.25">
      <c r="C55" s="198" t="s">
        <v>1210</v>
      </c>
      <c r="D55" s="199">
        <v>54</v>
      </c>
      <c r="E55" s="198" t="s">
        <v>427</v>
      </c>
      <c r="J55" s="198" t="s">
        <v>428</v>
      </c>
      <c r="P55" s="198" t="s">
        <v>429</v>
      </c>
      <c r="R55" s="198" t="s">
        <v>430</v>
      </c>
    </row>
    <row r="56" spans="3:18" ht="15" x14ac:dyDescent="0.25">
      <c r="C56" s="198" t="s">
        <v>1211</v>
      </c>
      <c r="D56" s="199">
        <v>55</v>
      </c>
      <c r="E56" s="198" t="s">
        <v>434</v>
      </c>
      <c r="F56" s="198" t="s">
        <v>1101</v>
      </c>
      <c r="K56" s="198" t="s">
        <v>435</v>
      </c>
      <c r="P56" s="198" t="s">
        <v>436</v>
      </c>
      <c r="R56" s="198" t="s">
        <v>437</v>
      </c>
    </row>
    <row r="57" spans="3:18" ht="15" x14ac:dyDescent="0.25">
      <c r="C57" s="198" t="s">
        <v>1212</v>
      </c>
      <c r="D57" s="199">
        <v>56</v>
      </c>
      <c r="E57" s="198" t="s">
        <v>441</v>
      </c>
      <c r="L57" s="198" t="s">
        <v>442</v>
      </c>
      <c r="P57" s="198">
        <v>278446</v>
      </c>
      <c r="R57" s="198" t="s">
        <v>443</v>
      </c>
    </row>
    <row r="58" spans="3:18" ht="15" x14ac:dyDescent="0.25">
      <c r="C58" s="198" t="s">
        <v>1213</v>
      </c>
      <c r="D58" s="199">
        <v>57</v>
      </c>
      <c r="E58" s="198" t="s">
        <v>448</v>
      </c>
      <c r="F58" s="198" t="s">
        <v>1099</v>
      </c>
      <c r="K58" s="198" t="s">
        <v>449</v>
      </c>
      <c r="P58" s="198" t="s">
        <v>450</v>
      </c>
      <c r="R58" s="198" t="s">
        <v>451</v>
      </c>
    </row>
    <row r="59" spans="3:18" ht="15" x14ac:dyDescent="0.25">
      <c r="C59" s="198" t="s">
        <v>1214</v>
      </c>
      <c r="D59" s="199">
        <v>58</v>
      </c>
      <c r="E59" s="198" t="s">
        <v>454</v>
      </c>
      <c r="J59" s="198" t="s">
        <v>455</v>
      </c>
      <c r="P59" s="198" t="s">
        <v>456</v>
      </c>
      <c r="R59" s="198" t="s">
        <v>457</v>
      </c>
    </row>
    <row r="60" spans="3:18" ht="15" x14ac:dyDescent="0.25">
      <c r="C60" s="198" t="s">
        <v>1215</v>
      </c>
      <c r="D60" s="199">
        <v>59</v>
      </c>
      <c r="E60" s="198" t="s">
        <v>461</v>
      </c>
      <c r="J60" s="198" t="s">
        <v>462</v>
      </c>
      <c r="P60" s="198" t="s">
        <v>463</v>
      </c>
      <c r="R60" s="198" t="s">
        <v>464</v>
      </c>
    </row>
    <row r="61" spans="3:18" ht="15" x14ac:dyDescent="0.25">
      <c r="C61" s="198" t="s">
        <v>1216</v>
      </c>
      <c r="D61" s="199">
        <v>60</v>
      </c>
      <c r="E61" s="198" t="s">
        <v>468</v>
      </c>
      <c r="J61" s="198" t="s">
        <v>469</v>
      </c>
      <c r="P61" s="198" t="s">
        <v>470</v>
      </c>
      <c r="R61" s="198" t="s">
        <v>471</v>
      </c>
    </row>
    <row r="62" spans="3:18" ht="15" x14ac:dyDescent="0.25">
      <c r="C62" s="198" t="s">
        <v>1217</v>
      </c>
      <c r="D62" s="199">
        <v>61</v>
      </c>
      <c r="E62" s="198" t="s">
        <v>475</v>
      </c>
      <c r="J62" s="198" t="s">
        <v>476</v>
      </c>
      <c r="P62" s="198" t="s">
        <v>477</v>
      </c>
      <c r="R62" s="198" t="s">
        <v>478</v>
      </c>
    </row>
    <row r="63" spans="3:18" ht="15" x14ac:dyDescent="0.25">
      <c r="C63" s="198" t="s">
        <v>1218</v>
      </c>
      <c r="D63" s="199">
        <v>63</v>
      </c>
      <c r="E63" s="198" t="s">
        <v>488</v>
      </c>
      <c r="J63" s="198" t="s">
        <v>489</v>
      </c>
      <c r="P63" s="198" t="s">
        <v>490</v>
      </c>
      <c r="R63" s="198" t="s">
        <v>491</v>
      </c>
    </row>
    <row r="64" spans="3:18" ht="15" x14ac:dyDescent="0.25">
      <c r="C64" s="198" t="s">
        <v>1219</v>
      </c>
      <c r="D64" s="199">
        <v>64</v>
      </c>
      <c r="E64" s="198" t="s">
        <v>495</v>
      </c>
      <c r="J64" s="198" t="s">
        <v>496</v>
      </c>
      <c r="P64" s="198" t="s">
        <v>497</v>
      </c>
      <c r="R64" s="198" t="s">
        <v>498</v>
      </c>
    </row>
    <row r="65" spans="1:18" ht="15" x14ac:dyDescent="0.25">
      <c r="C65" s="198" t="s">
        <v>1220</v>
      </c>
      <c r="D65" s="199">
        <v>66</v>
      </c>
      <c r="E65" s="198" t="s">
        <v>508</v>
      </c>
      <c r="J65" s="198" t="s">
        <v>509</v>
      </c>
      <c r="P65" s="198" t="s">
        <v>510</v>
      </c>
      <c r="R65" s="198">
        <v>6526515</v>
      </c>
    </row>
    <row r="66" spans="1:18" ht="15" x14ac:dyDescent="0.25">
      <c r="C66" s="198" t="s">
        <v>1221</v>
      </c>
      <c r="D66" s="199">
        <v>69</v>
      </c>
      <c r="E66" s="198" t="s">
        <v>526</v>
      </c>
      <c r="J66" s="198" t="s">
        <v>527</v>
      </c>
      <c r="Q66" s="198" t="s">
        <v>528</v>
      </c>
      <c r="R66" s="198" t="s">
        <v>529</v>
      </c>
    </row>
    <row r="67" spans="1:18" ht="15" x14ac:dyDescent="0.25">
      <c r="C67" s="198" t="s">
        <v>1222</v>
      </c>
      <c r="D67" s="199">
        <v>70</v>
      </c>
      <c r="E67" s="198" t="s">
        <v>533</v>
      </c>
      <c r="J67" s="198" t="s">
        <v>534</v>
      </c>
      <c r="P67" s="198" t="s">
        <v>1223</v>
      </c>
      <c r="R67" s="198" t="s">
        <v>536</v>
      </c>
    </row>
    <row r="68" spans="1:18" ht="15" x14ac:dyDescent="0.25">
      <c r="C68" s="198" t="s">
        <v>1224</v>
      </c>
      <c r="D68" s="199">
        <v>71</v>
      </c>
      <c r="E68" s="198" t="s">
        <v>544</v>
      </c>
      <c r="J68" s="198" t="s">
        <v>545</v>
      </c>
      <c r="P68" s="198" t="s">
        <v>546</v>
      </c>
      <c r="R68" s="198" t="s">
        <v>547</v>
      </c>
    </row>
    <row r="69" spans="1:18" ht="15" x14ac:dyDescent="0.25">
      <c r="C69" s="198" t="s">
        <v>1225</v>
      </c>
      <c r="D69" s="199">
        <v>72</v>
      </c>
      <c r="E69" s="198" t="s">
        <v>552</v>
      </c>
      <c r="J69" s="198" t="s">
        <v>553</v>
      </c>
      <c r="P69" s="198" t="s">
        <v>554</v>
      </c>
      <c r="R69" s="198">
        <v>74104548</v>
      </c>
    </row>
    <row r="70" spans="1:18" ht="15" x14ac:dyDescent="0.25">
      <c r="C70" s="198" t="s">
        <v>1226</v>
      </c>
      <c r="D70" s="199">
        <v>73</v>
      </c>
      <c r="E70" s="198" t="s">
        <v>560</v>
      </c>
      <c r="J70" s="198" t="s">
        <v>721</v>
      </c>
      <c r="P70" s="198" t="s">
        <v>722</v>
      </c>
      <c r="R70" s="198" t="s">
        <v>563</v>
      </c>
    </row>
    <row r="71" spans="1:18" ht="15" x14ac:dyDescent="0.25">
      <c r="C71" s="198" t="s">
        <v>1227</v>
      </c>
      <c r="D71" s="199">
        <v>75</v>
      </c>
      <c r="E71" s="198" t="s">
        <v>571</v>
      </c>
      <c r="J71" s="198" t="s">
        <v>572</v>
      </c>
      <c r="P71" s="198" t="s">
        <v>573</v>
      </c>
      <c r="R71" s="198" t="s">
        <v>574</v>
      </c>
    </row>
    <row r="72" spans="1:18" ht="15" x14ac:dyDescent="0.25">
      <c r="C72" s="198" t="s">
        <v>1228</v>
      </c>
      <c r="D72" s="199">
        <v>76</v>
      </c>
      <c r="E72" s="198" t="s">
        <v>579</v>
      </c>
      <c r="F72" s="198" t="s">
        <v>584</v>
      </c>
      <c r="K72" s="198" t="s">
        <v>580</v>
      </c>
      <c r="P72" s="198" t="s">
        <v>581</v>
      </c>
      <c r="R72" s="198" t="s">
        <v>582</v>
      </c>
    </row>
    <row r="73" spans="1:18" ht="15" x14ac:dyDescent="0.25">
      <c r="C73" s="198" t="s">
        <v>1229</v>
      </c>
      <c r="D73" s="199">
        <v>77</v>
      </c>
      <c r="E73" s="198" t="s">
        <v>589</v>
      </c>
      <c r="F73" s="198" t="s">
        <v>593</v>
      </c>
      <c r="K73" s="198" t="s">
        <v>590</v>
      </c>
      <c r="P73" s="198" t="s">
        <v>591</v>
      </c>
      <c r="R73" s="198" t="s">
        <v>592</v>
      </c>
    </row>
    <row r="74" spans="1:18" ht="15" x14ac:dyDescent="0.25">
      <c r="C74" s="198" t="s">
        <v>1230</v>
      </c>
      <c r="D74" s="199">
        <v>78</v>
      </c>
      <c r="E74" s="198" t="s">
        <v>598</v>
      </c>
      <c r="F74" s="198" t="s">
        <v>602</v>
      </c>
      <c r="J74" s="198" t="s">
        <v>599</v>
      </c>
      <c r="P74" s="198" t="s">
        <v>600</v>
      </c>
      <c r="R74" s="198" t="s">
        <v>601</v>
      </c>
    </row>
    <row r="75" spans="1:18" ht="15" x14ac:dyDescent="0.25">
      <c r="A75" s="203"/>
      <c r="B75" s="203"/>
      <c r="C75" s="203" t="s">
        <v>1231</v>
      </c>
      <c r="D75" s="204">
        <v>79</v>
      </c>
      <c r="E75" s="203" t="s">
        <v>606</v>
      </c>
      <c r="F75" s="198" t="s">
        <v>609</v>
      </c>
      <c r="G75" s="203"/>
      <c r="H75" s="203"/>
      <c r="I75" s="203"/>
      <c r="K75" s="203">
        <v>525136</v>
      </c>
      <c r="L75" s="203"/>
      <c r="M75" s="203"/>
      <c r="N75" s="203"/>
      <c r="O75" s="203"/>
      <c r="P75" s="203" t="s">
        <v>607</v>
      </c>
      <c r="R75" s="198" t="s">
        <v>608</v>
      </c>
    </row>
    <row r="76" spans="1:18" ht="15" x14ac:dyDescent="0.25">
      <c r="C76" s="198" t="s">
        <v>1232</v>
      </c>
      <c r="D76" s="199">
        <v>80</v>
      </c>
      <c r="E76" s="198" t="s">
        <v>614</v>
      </c>
      <c r="F76" s="198" t="s">
        <v>618</v>
      </c>
      <c r="J76" s="198" t="s">
        <v>615</v>
      </c>
      <c r="P76" s="198" t="s">
        <v>616</v>
      </c>
      <c r="R76" s="198" t="s">
        <v>617</v>
      </c>
    </row>
    <row r="77" spans="1:18" ht="15" x14ac:dyDescent="0.25">
      <c r="C77" s="198" t="s">
        <v>1233</v>
      </c>
      <c r="D77" s="199">
        <v>81</v>
      </c>
      <c r="E77" s="198" t="s">
        <v>623</v>
      </c>
      <c r="J77" s="198" t="s">
        <v>624</v>
      </c>
      <c r="P77" s="198" t="s">
        <v>625</v>
      </c>
      <c r="R77" s="198">
        <v>74106804</v>
      </c>
    </row>
    <row r="78" spans="1:18" ht="15" x14ac:dyDescent="0.25">
      <c r="C78" s="198" t="s">
        <v>1233</v>
      </c>
      <c r="D78" s="199">
        <v>81</v>
      </c>
      <c r="G78" s="198" t="s">
        <v>626</v>
      </c>
      <c r="I78" s="198" t="s">
        <v>627</v>
      </c>
      <c r="P78" s="198" t="s">
        <v>628</v>
      </c>
    </row>
    <row r="79" spans="1:18" ht="15" x14ac:dyDescent="0.25">
      <c r="A79" s="203"/>
      <c r="B79" s="203"/>
      <c r="C79" s="203" t="s">
        <v>1234</v>
      </c>
      <c r="D79" s="204">
        <v>82</v>
      </c>
      <c r="E79" s="203" t="s">
        <v>631</v>
      </c>
      <c r="F79" s="203" t="s">
        <v>635</v>
      </c>
      <c r="G79" s="203"/>
      <c r="H79" s="203"/>
      <c r="I79" s="203"/>
      <c r="J79" s="203" t="s">
        <v>632</v>
      </c>
      <c r="K79" s="203"/>
      <c r="L79" s="203"/>
      <c r="M79" s="203"/>
      <c r="N79" s="203"/>
      <c r="O79" s="203"/>
      <c r="P79" s="203" t="s">
        <v>633</v>
      </c>
      <c r="R79" s="198" t="s">
        <v>634</v>
      </c>
    </row>
    <row r="80" spans="1:18" ht="15" x14ac:dyDescent="0.25">
      <c r="C80" s="198" t="s">
        <v>1235</v>
      </c>
      <c r="D80" s="199">
        <v>83</v>
      </c>
      <c r="E80" s="198" t="s">
        <v>638</v>
      </c>
      <c r="J80" s="198" t="s">
        <v>639</v>
      </c>
      <c r="P80" s="198" t="s">
        <v>640</v>
      </c>
      <c r="R80" s="198" t="s">
        <v>641</v>
      </c>
    </row>
    <row r="81" spans="3:18" ht="15" x14ac:dyDescent="0.25">
      <c r="C81" s="198" t="s">
        <v>1236</v>
      </c>
      <c r="D81" s="199">
        <v>84</v>
      </c>
      <c r="E81" s="198" t="s">
        <v>644</v>
      </c>
      <c r="J81" s="198" t="s">
        <v>645</v>
      </c>
      <c r="P81" s="198" t="s">
        <v>646</v>
      </c>
      <c r="R81" s="198">
        <v>54621407</v>
      </c>
    </row>
    <row r="82" spans="3:18" ht="15" x14ac:dyDescent="0.25">
      <c r="C82" s="198" t="s">
        <v>1236</v>
      </c>
      <c r="D82" s="199">
        <v>84</v>
      </c>
      <c r="G82" s="198" t="s">
        <v>647</v>
      </c>
      <c r="I82" s="198" t="s">
        <v>648</v>
      </c>
      <c r="Q82" s="198" t="s">
        <v>649</v>
      </c>
    </row>
    <row r="83" spans="3:18" ht="15" x14ac:dyDescent="0.25">
      <c r="C83" s="198" t="s">
        <v>1237</v>
      </c>
      <c r="D83" s="199">
        <v>85</v>
      </c>
      <c r="E83" s="198" t="s">
        <v>653</v>
      </c>
      <c r="L83" s="198" t="s">
        <v>654</v>
      </c>
      <c r="P83" s="198" t="s">
        <v>655</v>
      </c>
      <c r="R83" s="198">
        <v>6541048</v>
      </c>
    </row>
    <row r="84" spans="3:18" ht="15" x14ac:dyDescent="0.25">
      <c r="C84" s="198" t="s">
        <v>1238</v>
      </c>
      <c r="D84" s="199">
        <v>87</v>
      </c>
      <c r="E84" s="198" t="s">
        <v>663</v>
      </c>
      <c r="J84" s="198" t="s">
        <v>664</v>
      </c>
      <c r="Q84" s="198" t="s">
        <v>665</v>
      </c>
      <c r="R84" s="198" t="s">
        <v>666</v>
      </c>
    </row>
    <row r="85" spans="3:18" ht="15" x14ac:dyDescent="0.25">
      <c r="C85" s="198" t="s">
        <v>1239</v>
      </c>
      <c r="D85" s="199">
        <v>88</v>
      </c>
      <c r="E85" s="198" t="s">
        <v>670</v>
      </c>
      <c r="J85" s="198" t="s">
        <v>671</v>
      </c>
      <c r="P85" s="198" t="s">
        <v>672</v>
      </c>
      <c r="R85" s="198" t="s">
        <v>673</v>
      </c>
    </row>
    <row r="86" spans="3:18" ht="15" x14ac:dyDescent="0.25">
      <c r="C86" s="198" t="s">
        <v>1240</v>
      </c>
      <c r="D86" s="199">
        <v>89</v>
      </c>
      <c r="E86" s="198" t="s">
        <v>677</v>
      </c>
      <c r="J86" s="198" t="s">
        <v>678</v>
      </c>
      <c r="Q86" s="198" t="s">
        <v>679</v>
      </c>
      <c r="R86" s="198">
        <v>74106838</v>
      </c>
    </row>
    <row r="87" spans="3:18" ht="15" x14ac:dyDescent="0.25">
      <c r="C87" s="198" t="s">
        <v>1241</v>
      </c>
      <c r="D87" s="199">
        <v>91</v>
      </c>
      <c r="E87" s="198" t="s">
        <v>686</v>
      </c>
      <c r="J87" s="198" t="s">
        <v>687</v>
      </c>
      <c r="P87" s="198" t="s">
        <v>1242</v>
      </c>
      <c r="R87" s="198" t="s">
        <v>689</v>
      </c>
    </row>
    <row r="88" spans="3:18" ht="15" x14ac:dyDescent="0.25">
      <c r="C88" s="198" t="s">
        <v>1243</v>
      </c>
      <c r="D88" s="199">
        <v>92</v>
      </c>
      <c r="E88" s="198" t="s">
        <v>693</v>
      </c>
      <c r="J88" s="198" t="s">
        <v>694</v>
      </c>
      <c r="Q88" s="198" t="s">
        <v>695</v>
      </c>
      <c r="R88" s="198">
        <v>6517920</v>
      </c>
    </row>
    <row r="89" spans="3:18" ht="15" x14ac:dyDescent="0.25">
      <c r="C89" s="198" t="s">
        <v>1244</v>
      </c>
      <c r="D89" s="199">
        <v>93</v>
      </c>
      <c r="E89" s="198" t="s">
        <v>700</v>
      </c>
      <c r="J89" s="198" t="s">
        <v>701</v>
      </c>
      <c r="P89" s="198" t="s">
        <v>702</v>
      </c>
      <c r="R89" s="198" t="s">
        <v>703</v>
      </c>
    </row>
    <row r="90" spans="3:18" ht="15" x14ac:dyDescent="0.25">
      <c r="C90" s="198" t="s">
        <v>1245</v>
      </c>
      <c r="D90" s="199">
        <v>94</v>
      </c>
      <c r="E90" s="198" t="s">
        <v>706</v>
      </c>
      <c r="J90" s="198" t="s">
        <v>707</v>
      </c>
      <c r="P90" s="198" t="s">
        <v>708</v>
      </c>
      <c r="R90" s="198" t="s">
        <v>709</v>
      </c>
    </row>
    <row r="91" spans="3:18" ht="15" x14ac:dyDescent="0.25">
      <c r="C91" s="198" t="s">
        <v>1246</v>
      </c>
      <c r="D91" s="199">
        <v>96</v>
      </c>
      <c r="E91" s="198" t="s">
        <v>720</v>
      </c>
      <c r="J91" s="198" t="s">
        <v>561</v>
      </c>
      <c r="Q91" s="198" t="s">
        <v>562</v>
      </c>
      <c r="R91" s="198" t="s">
        <v>723</v>
      </c>
    </row>
    <row r="92" spans="3:18" ht="15" x14ac:dyDescent="0.25">
      <c r="C92" s="198" t="s">
        <v>1247</v>
      </c>
      <c r="D92" s="199">
        <v>97</v>
      </c>
      <c r="E92" s="198" t="s">
        <v>727</v>
      </c>
      <c r="J92" s="198" t="s">
        <v>728</v>
      </c>
      <c r="P92" s="198" t="s">
        <v>729</v>
      </c>
      <c r="R92" s="198" t="s">
        <v>730</v>
      </c>
    </row>
    <row r="93" spans="3:18" ht="15" x14ac:dyDescent="0.25">
      <c r="C93" s="198" t="s">
        <v>1248</v>
      </c>
      <c r="D93" s="199">
        <v>98</v>
      </c>
      <c r="E93" s="198" t="s">
        <v>733</v>
      </c>
      <c r="J93" s="198" t="s">
        <v>734</v>
      </c>
      <c r="P93" s="198" t="s">
        <v>735</v>
      </c>
      <c r="R93" s="198" t="s">
        <v>736</v>
      </c>
    </row>
    <row r="94" spans="3:18" ht="15" x14ac:dyDescent="0.25">
      <c r="C94" s="198" t="s">
        <v>1249</v>
      </c>
      <c r="D94" s="199">
        <v>99</v>
      </c>
      <c r="E94" s="198" t="s">
        <v>739</v>
      </c>
      <c r="J94" s="198" t="s">
        <v>740</v>
      </c>
      <c r="P94" s="198" t="s">
        <v>741</v>
      </c>
      <c r="R94" s="198" t="s">
        <v>742</v>
      </c>
    </row>
    <row r="95" spans="3:18" ht="15" x14ac:dyDescent="0.25">
      <c r="C95" s="198" t="s">
        <v>1250</v>
      </c>
      <c r="D95" s="199">
        <v>101</v>
      </c>
      <c r="E95" s="198" t="s">
        <v>750</v>
      </c>
      <c r="J95" s="198" t="s">
        <v>751</v>
      </c>
      <c r="P95" s="198" t="s">
        <v>752</v>
      </c>
      <c r="R95" s="198" t="s">
        <v>753</v>
      </c>
    </row>
    <row r="96" spans="3:18" ht="15" x14ac:dyDescent="0.25">
      <c r="C96" s="198" t="s">
        <v>1251</v>
      </c>
      <c r="D96" s="199">
        <v>102</v>
      </c>
      <c r="E96" s="198" t="s">
        <v>757</v>
      </c>
      <c r="J96" s="198" t="s">
        <v>758</v>
      </c>
      <c r="P96" s="198" t="s">
        <v>759</v>
      </c>
      <c r="R96" s="198" t="s">
        <v>760</v>
      </c>
    </row>
    <row r="97" spans="3:18" ht="15" x14ac:dyDescent="0.25">
      <c r="C97" s="198" t="s">
        <v>1252</v>
      </c>
      <c r="D97" s="199">
        <v>103</v>
      </c>
      <c r="E97" s="198" t="s">
        <v>763</v>
      </c>
      <c r="J97" s="198" t="s">
        <v>764</v>
      </c>
      <c r="Q97" s="198" t="s">
        <v>765</v>
      </c>
      <c r="R97" s="198" t="s">
        <v>766</v>
      </c>
    </row>
    <row r="98" spans="3:18" ht="15" x14ac:dyDescent="0.25">
      <c r="C98" s="198" t="s">
        <v>1253</v>
      </c>
      <c r="D98" s="199">
        <v>104</v>
      </c>
      <c r="E98" s="198" t="s">
        <v>771</v>
      </c>
      <c r="J98" s="198" t="s">
        <v>772</v>
      </c>
      <c r="Q98" s="198" t="s">
        <v>773</v>
      </c>
      <c r="R98" s="198" t="s">
        <v>774</v>
      </c>
    </row>
    <row r="99" spans="3:18" ht="15" x14ac:dyDescent="0.25">
      <c r="C99" s="198" t="s">
        <v>1254</v>
      </c>
      <c r="D99" s="199">
        <v>105</v>
      </c>
      <c r="E99" s="198" t="s">
        <v>778</v>
      </c>
      <c r="J99" s="198" t="s">
        <v>779</v>
      </c>
      <c r="Q99" s="198" t="s">
        <v>780</v>
      </c>
      <c r="R99" s="198" t="s">
        <v>781</v>
      </c>
    </row>
    <row r="100" spans="3:18" ht="15" x14ac:dyDescent="0.25">
      <c r="C100" s="198" t="s">
        <v>1255</v>
      </c>
      <c r="D100" s="199">
        <v>106</v>
      </c>
      <c r="E100" s="198" t="s">
        <v>784</v>
      </c>
      <c r="J100" s="198" t="s">
        <v>785</v>
      </c>
      <c r="Q100" s="198" t="s">
        <v>786</v>
      </c>
      <c r="R100" s="198" t="s">
        <v>787</v>
      </c>
    </row>
    <row r="101" spans="3:18" ht="15" x14ac:dyDescent="0.25">
      <c r="C101" s="198" t="s">
        <v>1256</v>
      </c>
      <c r="D101" s="199">
        <v>110</v>
      </c>
      <c r="E101" s="198" t="s">
        <v>802</v>
      </c>
      <c r="J101" s="198" t="s">
        <v>803</v>
      </c>
      <c r="P101" s="198" t="s">
        <v>804</v>
      </c>
      <c r="R101" s="198" t="s">
        <v>805</v>
      </c>
    </row>
    <row r="102" spans="3:18" ht="15" x14ac:dyDescent="0.25">
      <c r="C102" s="198" t="s">
        <v>1257</v>
      </c>
      <c r="D102" s="199">
        <v>112</v>
      </c>
      <c r="E102" s="198" t="s">
        <v>815</v>
      </c>
      <c r="J102" s="198" t="s">
        <v>816</v>
      </c>
      <c r="P102" s="198" t="s">
        <v>817</v>
      </c>
      <c r="R102" s="198">
        <v>583</v>
      </c>
    </row>
    <row r="103" spans="3:18" ht="15" x14ac:dyDescent="0.25">
      <c r="C103" s="198" t="s">
        <v>1258</v>
      </c>
      <c r="D103" s="199">
        <v>114</v>
      </c>
      <c r="E103" s="198" t="s">
        <v>827</v>
      </c>
      <c r="J103" s="198" t="s">
        <v>828</v>
      </c>
      <c r="P103" s="198" t="s">
        <v>829</v>
      </c>
      <c r="R103" s="198" t="s">
        <v>830</v>
      </c>
    </row>
    <row r="104" spans="3:18" ht="15" x14ac:dyDescent="0.25">
      <c r="C104" s="198" t="s">
        <v>1259</v>
      </c>
      <c r="D104" s="199">
        <v>115</v>
      </c>
      <c r="E104" s="198" t="s">
        <v>834</v>
      </c>
      <c r="J104" s="198" t="s">
        <v>835</v>
      </c>
      <c r="P104" s="198" t="s">
        <v>836</v>
      </c>
      <c r="R104" s="198" t="s">
        <v>837</v>
      </c>
    </row>
    <row r="105" spans="3:18" ht="15" x14ac:dyDescent="0.25">
      <c r="C105" s="198" t="s">
        <v>1260</v>
      </c>
      <c r="D105" s="205">
        <v>116</v>
      </c>
      <c r="E105" s="198" t="s">
        <v>839</v>
      </c>
      <c r="F105" s="198" t="s">
        <v>843</v>
      </c>
      <c r="J105" s="198" t="s">
        <v>840</v>
      </c>
      <c r="P105" s="198" t="s">
        <v>841</v>
      </c>
      <c r="R105" s="198" t="s">
        <v>842</v>
      </c>
    </row>
    <row r="106" spans="3:18" ht="15" x14ac:dyDescent="0.25">
      <c r="C106" s="198" t="s">
        <v>1261</v>
      </c>
      <c r="D106" s="199">
        <v>117</v>
      </c>
      <c r="E106" s="198" t="s">
        <v>846</v>
      </c>
      <c r="J106" s="198" t="s">
        <v>847</v>
      </c>
      <c r="Q106" s="198" t="s">
        <v>848</v>
      </c>
      <c r="R106" s="198" t="s">
        <v>849</v>
      </c>
    </row>
    <row r="107" spans="3:18" ht="15" x14ac:dyDescent="0.25">
      <c r="C107" s="198" t="s">
        <v>1262</v>
      </c>
      <c r="D107" s="205">
        <v>118</v>
      </c>
      <c r="E107" s="198" t="s">
        <v>852</v>
      </c>
      <c r="F107" s="198" t="s">
        <v>855</v>
      </c>
      <c r="J107" s="198" t="s">
        <v>853</v>
      </c>
      <c r="P107" s="198">
        <v>239593</v>
      </c>
      <c r="R107" s="198" t="s">
        <v>854</v>
      </c>
    </row>
    <row r="108" spans="3:18" ht="15" x14ac:dyDescent="0.25">
      <c r="C108" s="198" t="s">
        <v>1263</v>
      </c>
      <c r="D108" s="199">
        <v>119</v>
      </c>
      <c r="E108" s="198" t="s">
        <v>859</v>
      </c>
      <c r="J108" s="198" t="s">
        <v>860</v>
      </c>
      <c r="P108" s="198" t="s">
        <v>861</v>
      </c>
      <c r="R108" s="198" t="s">
        <v>862</v>
      </c>
    </row>
    <row r="109" spans="3:18" ht="15" x14ac:dyDescent="0.25">
      <c r="C109" s="198" t="s">
        <v>1264</v>
      </c>
      <c r="D109" s="205">
        <v>120</v>
      </c>
      <c r="E109" s="198" t="s">
        <v>867</v>
      </c>
      <c r="F109" s="198" t="s">
        <v>1061</v>
      </c>
      <c r="J109" s="198" t="s">
        <v>868</v>
      </c>
      <c r="P109" s="198" t="s">
        <v>914</v>
      </c>
      <c r="R109" s="198" t="s">
        <v>870</v>
      </c>
    </row>
    <row r="110" spans="3:18" ht="15" x14ac:dyDescent="0.25">
      <c r="C110" s="198" t="s">
        <v>1265</v>
      </c>
      <c r="D110" s="199">
        <v>121</v>
      </c>
      <c r="E110" s="198" t="s">
        <v>873</v>
      </c>
      <c r="J110" s="198" t="s">
        <v>874</v>
      </c>
      <c r="Q110" s="198" t="s">
        <v>875</v>
      </c>
      <c r="R110" s="198" t="s">
        <v>876</v>
      </c>
    </row>
    <row r="111" spans="3:18" ht="15" x14ac:dyDescent="0.25">
      <c r="C111" s="198" t="s">
        <v>1266</v>
      </c>
      <c r="D111" s="199">
        <v>122</v>
      </c>
      <c r="E111" s="198" t="s">
        <v>880</v>
      </c>
      <c r="J111" s="198" t="s">
        <v>881</v>
      </c>
      <c r="Q111" s="198" t="s">
        <v>882</v>
      </c>
      <c r="R111" s="198" t="s">
        <v>883</v>
      </c>
    </row>
    <row r="112" spans="3:18" ht="15" x14ac:dyDescent="0.25">
      <c r="C112" s="198" t="s">
        <v>1267</v>
      </c>
      <c r="D112" s="205">
        <v>123</v>
      </c>
      <c r="E112" s="198" t="s">
        <v>886</v>
      </c>
      <c r="F112" s="198" t="s">
        <v>890</v>
      </c>
      <c r="J112" s="198" t="s">
        <v>887</v>
      </c>
      <c r="Q112" s="198" t="s">
        <v>888</v>
      </c>
      <c r="R112" s="198" t="s">
        <v>889</v>
      </c>
    </row>
    <row r="113" spans="1:18" ht="15" x14ac:dyDescent="0.25">
      <c r="C113" s="198" t="s">
        <v>1268</v>
      </c>
      <c r="D113" s="199">
        <v>125</v>
      </c>
      <c r="E113" s="198" t="s">
        <v>898</v>
      </c>
      <c r="J113" s="198" t="s">
        <v>899</v>
      </c>
      <c r="Q113" s="198" t="s">
        <v>900</v>
      </c>
      <c r="R113" s="198" t="s">
        <v>901</v>
      </c>
    </row>
    <row r="114" spans="1:18" ht="15" x14ac:dyDescent="0.25">
      <c r="C114" s="198" t="s">
        <v>1269</v>
      </c>
      <c r="D114" s="199">
        <v>126</v>
      </c>
      <c r="E114" s="198" t="s">
        <v>904</v>
      </c>
      <c r="J114" s="198" t="s">
        <v>905</v>
      </c>
      <c r="Q114" s="198" t="s">
        <v>906</v>
      </c>
      <c r="R114" s="198" t="s">
        <v>907</v>
      </c>
    </row>
    <row r="115" spans="1:18" ht="15" x14ac:dyDescent="0.25">
      <c r="C115" s="198" t="s">
        <v>1270</v>
      </c>
      <c r="D115" s="205">
        <v>127</v>
      </c>
      <c r="E115" s="198" t="s">
        <v>912</v>
      </c>
      <c r="F115" s="198" t="s">
        <v>915</v>
      </c>
      <c r="J115" s="198" t="s">
        <v>913</v>
      </c>
      <c r="P115" s="198" t="s">
        <v>869</v>
      </c>
      <c r="R115" s="198">
        <v>74106815</v>
      </c>
    </row>
    <row r="116" spans="1:18" ht="15" x14ac:dyDescent="0.25">
      <c r="C116" s="198" t="s">
        <v>1271</v>
      </c>
      <c r="D116" s="199">
        <v>130</v>
      </c>
      <c r="E116" s="198" t="s">
        <v>925</v>
      </c>
      <c r="J116" s="198" t="s">
        <v>926</v>
      </c>
      <c r="Q116" s="198" t="s">
        <v>927</v>
      </c>
      <c r="R116" s="198" t="s">
        <v>928</v>
      </c>
    </row>
    <row r="117" spans="1:18" ht="15" x14ac:dyDescent="0.25">
      <c r="C117" s="198" t="s">
        <v>1272</v>
      </c>
      <c r="D117" s="199">
        <v>133</v>
      </c>
      <c r="E117" s="198" t="s">
        <v>942</v>
      </c>
      <c r="J117" s="198" t="s">
        <v>943</v>
      </c>
      <c r="P117" s="198" t="s">
        <v>944</v>
      </c>
      <c r="R117" s="198" t="s">
        <v>945</v>
      </c>
    </row>
    <row r="118" spans="1:18" ht="15" x14ac:dyDescent="0.25">
      <c r="A118" s="203"/>
      <c r="B118" s="203"/>
      <c r="C118" s="203" t="s">
        <v>1273</v>
      </c>
      <c r="D118" s="204">
        <v>135</v>
      </c>
      <c r="E118" s="203" t="s">
        <v>952</v>
      </c>
      <c r="F118" s="203"/>
      <c r="G118" s="203"/>
      <c r="H118" s="203"/>
      <c r="I118" s="203"/>
      <c r="J118" s="203" t="s">
        <v>953</v>
      </c>
      <c r="K118" s="203"/>
      <c r="L118" s="203"/>
      <c r="M118" s="203"/>
      <c r="N118" s="203"/>
      <c r="O118" s="203"/>
      <c r="P118" s="203"/>
      <c r="R118" s="198" t="s">
        <v>954</v>
      </c>
    </row>
    <row r="119" spans="1:18" ht="15" x14ac:dyDescent="0.25">
      <c r="C119" s="198" t="s">
        <v>1274</v>
      </c>
      <c r="D119" s="199">
        <v>137</v>
      </c>
      <c r="E119" s="198" t="s">
        <v>963</v>
      </c>
      <c r="F119" s="198" t="s">
        <v>967</v>
      </c>
      <c r="J119" s="198" t="s">
        <v>964</v>
      </c>
      <c r="Q119" s="198" t="s">
        <v>965</v>
      </c>
      <c r="R119" s="198" t="s">
        <v>966</v>
      </c>
    </row>
    <row r="120" spans="1:18" ht="15" x14ac:dyDescent="0.25">
      <c r="C120" s="198" t="s">
        <v>1275</v>
      </c>
      <c r="D120" s="199">
        <v>138</v>
      </c>
      <c r="E120" s="198" t="s">
        <v>970</v>
      </c>
      <c r="J120" s="198" t="s">
        <v>971</v>
      </c>
      <c r="Q120" s="198" t="s">
        <v>972</v>
      </c>
      <c r="R120" s="198" t="s">
        <v>973</v>
      </c>
    </row>
    <row r="121" spans="1:18" ht="15" x14ac:dyDescent="0.25">
      <c r="C121" s="198" t="s">
        <v>1276</v>
      </c>
      <c r="D121" s="199">
        <v>139</v>
      </c>
      <c r="E121" s="198" t="s">
        <v>977</v>
      </c>
      <c r="J121" s="198" t="s">
        <v>978</v>
      </c>
      <c r="Q121" s="198" t="s">
        <v>979</v>
      </c>
      <c r="R121" s="198" t="s">
        <v>980</v>
      </c>
    </row>
    <row r="122" spans="1:18" ht="15" x14ac:dyDescent="0.25">
      <c r="C122" s="198" t="s">
        <v>1277</v>
      </c>
      <c r="D122" s="199">
        <v>140</v>
      </c>
      <c r="E122" s="198" t="s">
        <v>983</v>
      </c>
      <c r="J122" s="198" t="s">
        <v>984</v>
      </c>
      <c r="Q122" s="198" t="s">
        <v>985</v>
      </c>
      <c r="R122" s="198" t="s">
        <v>986</v>
      </c>
    </row>
    <row r="123" spans="1:18" ht="15" x14ac:dyDescent="0.25">
      <c r="C123" s="198" t="s">
        <v>1278</v>
      </c>
      <c r="D123" s="199">
        <v>141</v>
      </c>
      <c r="E123" s="198" t="s">
        <v>991</v>
      </c>
      <c r="J123" s="198" t="s">
        <v>992</v>
      </c>
      <c r="Q123" s="198" t="s">
        <v>993</v>
      </c>
      <c r="R123" s="198" t="s">
        <v>994</v>
      </c>
    </row>
    <row r="124" spans="1:18" ht="15" x14ac:dyDescent="0.25">
      <c r="C124" s="198" t="s">
        <v>1279</v>
      </c>
      <c r="D124" s="199">
        <v>142</v>
      </c>
      <c r="E124" s="198" t="s">
        <v>997</v>
      </c>
      <c r="J124" s="198" t="s">
        <v>998</v>
      </c>
      <c r="Q124" s="198" t="s">
        <v>999</v>
      </c>
      <c r="R124" s="198">
        <v>74106844</v>
      </c>
    </row>
    <row r="125" spans="1:18" ht="15" x14ac:dyDescent="0.25">
      <c r="C125" s="198" t="s">
        <v>1280</v>
      </c>
      <c r="D125" s="199">
        <v>143</v>
      </c>
      <c r="E125" s="198" t="s">
        <v>1001</v>
      </c>
      <c r="J125" s="198" t="s">
        <v>1002</v>
      </c>
      <c r="Q125" s="198" t="s">
        <v>1003</v>
      </c>
      <c r="R125" s="198" t="s">
        <v>1004</v>
      </c>
    </row>
    <row r="126" spans="1:18" ht="15" x14ac:dyDescent="0.25">
      <c r="C126" s="198" t="s">
        <v>1281</v>
      </c>
      <c r="D126" s="199">
        <v>144</v>
      </c>
      <c r="E126" s="198" t="s">
        <v>1007</v>
      </c>
      <c r="J126" s="198" t="s">
        <v>1008</v>
      </c>
      <c r="Q126" s="198" t="s">
        <v>1282</v>
      </c>
      <c r="R126" s="198">
        <v>6543980</v>
      </c>
    </row>
    <row r="127" spans="1:18" ht="15" x14ac:dyDescent="0.25">
      <c r="C127" s="198" t="s">
        <v>1283</v>
      </c>
      <c r="D127" s="199">
        <v>145</v>
      </c>
      <c r="E127" s="198" t="s">
        <v>1013</v>
      </c>
      <c r="J127" s="198" t="s">
        <v>1014</v>
      </c>
      <c r="Q127" s="198" t="s">
        <v>1015</v>
      </c>
      <c r="R127" s="198">
        <v>3181</v>
      </c>
    </row>
    <row r="128" spans="1:18" ht="15" x14ac:dyDescent="0.25">
      <c r="C128" s="198" t="s">
        <v>1284</v>
      </c>
      <c r="D128" s="199">
        <v>146</v>
      </c>
      <c r="E128" s="198" t="s">
        <v>1019</v>
      </c>
      <c r="J128" s="198" t="s">
        <v>1020</v>
      </c>
      <c r="P128" s="198">
        <v>439346</v>
      </c>
      <c r="R128" s="198" t="s">
        <v>1021</v>
      </c>
    </row>
    <row r="129" spans="1:18" ht="15" x14ac:dyDescent="0.25">
      <c r="A129" s="203"/>
      <c r="B129" s="203"/>
      <c r="C129" s="203" t="s">
        <v>1285</v>
      </c>
      <c r="D129" s="204">
        <v>147</v>
      </c>
      <c r="E129" s="203" t="s">
        <v>1024</v>
      </c>
      <c r="F129" s="203"/>
      <c r="G129" s="203"/>
      <c r="H129" s="203"/>
      <c r="I129" s="203"/>
      <c r="J129" s="203" t="s">
        <v>1025</v>
      </c>
      <c r="K129" s="203"/>
      <c r="L129" s="203"/>
      <c r="M129" s="203"/>
      <c r="N129" s="203"/>
      <c r="O129" s="203"/>
      <c r="Q129" s="198" t="s">
        <v>1026</v>
      </c>
      <c r="R129" s="198" t="s">
        <v>1027</v>
      </c>
    </row>
    <row r="130" spans="1:18" ht="15" x14ac:dyDescent="0.25">
      <c r="C130" s="198" t="s">
        <v>1286</v>
      </c>
      <c r="D130" s="199">
        <v>148</v>
      </c>
      <c r="E130" s="198" t="s">
        <v>1030</v>
      </c>
      <c r="L130" s="198" t="s">
        <v>1032</v>
      </c>
      <c r="Q130" s="198" t="s">
        <v>1033</v>
      </c>
      <c r="R130" s="198">
        <v>6543978</v>
      </c>
    </row>
    <row r="131" spans="1:18" ht="15" x14ac:dyDescent="0.25">
      <c r="C131" s="198" t="s">
        <v>1287</v>
      </c>
      <c r="D131" s="199">
        <v>149</v>
      </c>
      <c r="E131" s="198" t="s">
        <v>1036</v>
      </c>
      <c r="J131" s="198" t="s">
        <v>1037</v>
      </c>
      <c r="Q131" s="198" t="s">
        <v>1038</v>
      </c>
      <c r="R131" s="198">
        <v>54621272</v>
      </c>
    </row>
    <row r="132" spans="1:18" ht="15" x14ac:dyDescent="0.25">
      <c r="C132" s="198" t="s">
        <v>1288</v>
      </c>
      <c r="D132" s="199">
        <v>156</v>
      </c>
      <c r="F132" s="198" t="s">
        <v>1047</v>
      </c>
      <c r="R132" s="198">
        <v>6517918</v>
      </c>
    </row>
    <row r="133" spans="1:18" ht="15" x14ac:dyDescent="0.25">
      <c r="A133" s="203"/>
      <c r="B133" s="203"/>
      <c r="C133" s="203" t="s">
        <v>1289</v>
      </c>
      <c r="D133" s="204">
        <v>158</v>
      </c>
      <c r="F133" s="203" t="s">
        <v>1050</v>
      </c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R133" s="198">
        <v>6542859</v>
      </c>
    </row>
    <row r="134" spans="1:18" ht="15" x14ac:dyDescent="0.25">
      <c r="C134" s="198" t="s">
        <v>1290</v>
      </c>
      <c r="F134" s="198" t="s">
        <v>1107</v>
      </c>
    </row>
    <row r="135" spans="1:18" ht="15" x14ac:dyDescent="0.25">
      <c r="C135" s="198" t="s">
        <v>1291</v>
      </c>
      <c r="F135" s="198" t="s">
        <v>1084</v>
      </c>
    </row>
    <row r="136" spans="1:18" ht="15" x14ac:dyDescent="0.25">
      <c r="C136" s="198" t="s">
        <v>1292</v>
      </c>
      <c r="F136" s="198" t="s">
        <v>1072</v>
      </c>
    </row>
    <row r="137" spans="1:18" ht="15" x14ac:dyDescent="0.25">
      <c r="C137" s="198" t="s">
        <v>1293</v>
      </c>
      <c r="F137" s="198" t="s">
        <v>1065</v>
      </c>
    </row>
    <row r="138" spans="1:18" ht="15" x14ac:dyDescent="0.25">
      <c r="C138" s="198" t="s">
        <v>1294</v>
      </c>
      <c r="F138" s="198" t="s">
        <v>1088</v>
      </c>
    </row>
    <row r="139" spans="1:18" ht="15" x14ac:dyDescent="0.25">
      <c r="C139" s="198" t="s">
        <v>1295</v>
      </c>
      <c r="F139" s="198" t="s">
        <v>1092</v>
      </c>
    </row>
    <row r="140" spans="1:18" ht="15" x14ac:dyDescent="0.25">
      <c r="C140" s="198" t="s">
        <v>1296</v>
      </c>
      <c r="F140" s="198" t="s">
        <v>1069</v>
      </c>
    </row>
    <row r="141" spans="1:18" ht="15" x14ac:dyDescent="0.25">
      <c r="C141" s="198" t="s">
        <v>1297</v>
      </c>
      <c r="F141" s="198" t="s">
        <v>1080</v>
      </c>
    </row>
    <row r="142" spans="1:18" ht="15" x14ac:dyDescent="0.25">
      <c r="C142" s="198" t="s">
        <v>1298</v>
      </c>
      <c r="F142" s="198" t="s">
        <v>1076</v>
      </c>
    </row>
    <row r="143" spans="1:18" ht="15" x14ac:dyDescent="0.25">
      <c r="C143" s="198" t="s">
        <v>1299</v>
      </c>
      <c r="F143" s="198" t="s">
        <v>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2.75" x14ac:dyDescent="0.2"/>
  <sheetData>
    <row r="1" spans="1:5" x14ac:dyDescent="0.2">
      <c r="B1" t="s">
        <v>1300</v>
      </c>
      <c r="D1" s="206" t="s">
        <v>1301</v>
      </c>
      <c r="E1" s="206">
        <v>21</v>
      </c>
    </row>
    <row r="2" spans="1:5" x14ac:dyDescent="0.2">
      <c r="A2" t="s">
        <v>432</v>
      </c>
    </row>
    <row r="3" spans="1:5" x14ac:dyDescent="0.2">
      <c r="A3" t="s">
        <v>576</v>
      </c>
      <c r="B3">
        <v>2</v>
      </c>
    </row>
    <row r="4" spans="1:5" x14ac:dyDescent="0.2">
      <c r="A4" t="s">
        <v>12</v>
      </c>
    </row>
    <row r="5" spans="1:5" x14ac:dyDescent="0.2">
      <c r="A5" t="s">
        <v>273</v>
      </c>
      <c r="B5">
        <v>2</v>
      </c>
    </row>
    <row r="6" spans="1:5" x14ac:dyDescent="0.2">
      <c r="A6" t="s">
        <v>87</v>
      </c>
    </row>
    <row r="7" spans="1:5" x14ac:dyDescent="0.2">
      <c r="A7" t="s">
        <v>480</v>
      </c>
      <c r="B7">
        <v>3</v>
      </c>
    </row>
    <row r="8" spans="1:5" x14ac:dyDescent="0.2">
      <c r="A8" t="s">
        <v>524</v>
      </c>
    </row>
    <row r="9" spans="1:5" x14ac:dyDescent="0.2">
      <c r="A9" t="s">
        <v>620</v>
      </c>
      <c r="B9">
        <v>8</v>
      </c>
    </row>
    <row r="10" spans="1:5" x14ac:dyDescent="0.2">
      <c r="A10" t="s">
        <v>697</v>
      </c>
      <c r="B10">
        <v>4</v>
      </c>
    </row>
    <row r="11" spans="1:5" x14ac:dyDescent="0.2">
      <c r="A11" t="s">
        <v>718</v>
      </c>
      <c r="B11">
        <v>4</v>
      </c>
    </row>
    <row r="12" spans="1:5" x14ac:dyDescent="0.2">
      <c r="A12" s="206" t="s">
        <v>1302</v>
      </c>
      <c r="B12" s="206">
        <f>SUM(B2:B11)</f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2"/>
  <sheetViews>
    <sheetView workbookViewId="0"/>
  </sheetViews>
  <sheetFormatPr defaultRowHeight="12.75" x14ac:dyDescent="0.2"/>
  <sheetData>
    <row r="1" spans="1:11" x14ac:dyDescent="0.2">
      <c r="K1" s="208"/>
    </row>
    <row r="2" spans="1:11" ht="23.25" x14ac:dyDescent="0.2">
      <c r="A2" s="209"/>
      <c r="B2" s="209"/>
      <c r="C2" s="209"/>
      <c r="D2" s="209"/>
      <c r="E2" s="209"/>
      <c r="F2" s="209"/>
      <c r="G2" s="209"/>
      <c r="H2" s="209"/>
      <c r="I2" s="209"/>
      <c r="J2" s="210"/>
    </row>
    <row r="3" spans="1:11" ht="51" x14ac:dyDescent="0.2">
      <c r="A3" s="211" t="s">
        <v>1303</v>
      </c>
      <c r="B3" s="212" t="s">
        <v>1304</v>
      </c>
      <c r="C3" s="212" t="s">
        <v>1305</v>
      </c>
      <c r="D3" s="212" t="s">
        <v>1306</v>
      </c>
      <c r="E3" s="213" t="s">
        <v>1307</v>
      </c>
      <c r="F3" s="212" t="s">
        <v>1308</v>
      </c>
      <c r="G3" s="214" t="s">
        <v>1309</v>
      </c>
      <c r="H3" s="215" t="s">
        <v>1302</v>
      </c>
      <c r="I3" s="216" t="s">
        <v>1310</v>
      </c>
      <c r="J3" s="217"/>
      <c r="K3" s="218"/>
    </row>
    <row r="4" spans="1:11" ht="48" x14ac:dyDescent="0.2">
      <c r="A4" s="219" t="s">
        <v>1311</v>
      </c>
      <c r="B4" s="220"/>
      <c r="C4" s="220" t="s">
        <v>1312</v>
      </c>
      <c r="D4" s="220" t="s">
        <v>1313</v>
      </c>
      <c r="E4" s="221" t="s">
        <v>1314</v>
      </c>
      <c r="F4" s="219" t="s">
        <v>1315</v>
      </c>
      <c r="G4" s="220">
        <v>3442</v>
      </c>
      <c r="H4" s="222">
        <v>13768</v>
      </c>
      <c r="I4" s="223">
        <v>4</v>
      </c>
      <c r="J4" s="224"/>
      <c r="K4" s="225"/>
    </row>
    <row r="5" spans="1:11" ht="36" x14ac:dyDescent="0.2">
      <c r="A5" s="226" t="s">
        <v>1316</v>
      </c>
      <c r="B5" s="220" t="s">
        <v>1317</v>
      </c>
      <c r="C5" s="220"/>
      <c r="D5" s="227" t="s">
        <v>1318</v>
      </c>
      <c r="E5" s="228" t="s">
        <v>1319</v>
      </c>
      <c r="F5" s="226" t="s">
        <v>1320</v>
      </c>
      <c r="G5" s="227">
        <v>13896</v>
      </c>
      <c r="H5" s="229">
        <v>55584</v>
      </c>
      <c r="I5" s="230">
        <v>4</v>
      </c>
      <c r="J5" s="224"/>
      <c r="K5" s="225"/>
    </row>
    <row r="6" spans="1:11" ht="60" x14ac:dyDescent="0.2">
      <c r="A6" s="226" t="s">
        <v>1321</v>
      </c>
      <c r="B6" s="220" t="s">
        <v>1322</v>
      </c>
      <c r="C6" s="220"/>
      <c r="D6" s="227" t="s">
        <v>1323</v>
      </c>
      <c r="E6" s="228" t="s">
        <v>1324</v>
      </c>
      <c r="F6" s="226" t="s">
        <v>1325</v>
      </c>
      <c r="G6" s="227">
        <v>90</v>
      </c>
      <c r="H6" s="229">
        <v>1350</v>
      </c>
      <c r="I6" s="230">
        <v>15</v>
      </c>
      <c r="J6" s="224"/>
      <c r="K6" s="225"/>
    </row>
    <row r="7" spans="1:11" ht="60" x14ac:dyDescent="0.2">
      <c r="A7" s="226" t="s">
        <v>1326</v>
      </c>
      <c r="B7" s="220" t="s">
        <v>1327</v>
      </c>
      <c r="C7" s="220"/>
      <c r="D7" s="227" t="s">
        <v>1328</v>
      </c>
      <c r="E7" s="228" t="s">
        <v>1329</v>
      </c>
      <c r="F7" s="226" t="s">
        <v>1330</v>
      </c>
      <c r="G7" s="227">
        <v>10000</v>
      </c>
      <c r="H7" s="229">
        <v>30000</v>
      </c>
      <c r="I7" s="230">
        <v>3</v>
      </c>
      <c r="J7" s="224"/>
      <c r="K7" s="225"/>
    </row>
    <row r="8" spans="1:11" ht="24" x14ac:dyDescent="0.2">
      <c r="A8" s="226" t="s">
        <v>1331</v>
      </c>
      <c r="B8" s="227" t="s">
        <v>1332</v>
      </c>
      <c r="C8" s="227"/>
      <c r="D8" s="226" t="s">
        <v>1333</v>
      </c>
      <c r="E8" s="231" t="s">
        <v>1334</v>
      </c>
      <c r="F8" s="226" t="s">
        <v>1335</v>
      </c>
      <c r="G8" s="227">
        <v>138</v>
      </c>
      <c r="H8" s="229">
        <v>1380</v>
      </c>
      <c r="I8" s="232">
        <v>10</v>
      </c>
      <c r="J8" s="233"/>
      <c r="K8" s="225"/>
    </row>
    <row r="9" spans="1:11" ht="36" x14ac:dyDescent="0.2">
      <c r="A9" s="226" t="s">
        <v>1331</v>
      </c>
      <c r="B9" s="227" t="s">
        <v>1332</v>
      </c>
      <c r="C9" s="227"/>
      <c r="D9" s="227" t="s">
        <v>1336</v>
      </c>
      <c r="E9" s="228" t="s">
        <v>1334</v>
      </c>
      <c r="F9" s="226" t="s">
        <v>1337</v>
      </c>
      <c r="G9" s="227">
        <v>3725</v>
      </c>
      <c r="H9" s="229">
        <v>7450</v>
      </c>
      <c r="I9" s="232">
        <v>2</v>
      </c>
      <c r="J9" s="233"/>
      <c r="K9" s="225"/>
    </row>
    <row r="10" spans="1:11" ht="24" x14ac:dyDescent="0.2">
      <c r="A10" s="226" t="s">
        <v>1338</v>
      </c>
      <c r="B10" s="227" t="s">
        <v>1339</v>
      </c>
      <c r="C10" s="227"/>
      <c r="D10" s="227" t="s">
        <v>1340</v>
      </c>
      <c r="E10" s="228" t="s">
        <v>1341</v>
      </c>
      <c r="F10" s="226" t="s">
        <v>1342</v>
      </c>
      <c r="G10" s="227">
        <v>58</v>
      </c>
      <c r="H10" s="229">
        <v>10788</v>
      </c>
      <c r="I10" s="232">
        <v>186</v>
      </c>
      <c r="J10" s="233"/>
      <c r="K10" s="225"/>
    </row>
    <row r="11" spans="1:11" ht="72" x14ac:dyDescent="0.2">
      <c r="A11" s="226" t="s">
        <v>1343</v>
      </c>
      <c r="B11" s="227" t="s">
        <v>1344</v>
      </c>
      <c r="C11" s="227"/>
      <c r="D11" s="227" t="s">
        <v>1345</v>
      </c>
      <c r="E11" s="228" t="s">
        <v>1346</v>
      </c>
      <c r="F11" s="226" t="s">
        <v>1347</v>
      </c>
      <c r="G11" s="227">
        <v>32640</v>
      </c>
      <c r="H11" s="229">
        <v>97920</v>
      </c>
      <c r="I11" s="232">
        <v>3</v>
      </c>
      <c r="J11" s="233"/>
      <c r="K11" s="225"/>
    </row>
    <row r="12" spans="1:11" ht="72" x14ac:dyDescent="0.2">
      <c r="A12" s="226" t="s">
        <v>1343</v>
      </c>
      <c r="B12" s="227" t="s">
        <v>1344</v>
      </c>
      <c r="C12" s="227"/>
      <c r="D12" s="227" t="s">
        <v>1345</v>
      </c>
      <c r="E12" s="231" t="s">
        <v>1346</v>
      </c>
      <c r="F12" s="226" t="s">
        <v>1348</v>
      </c>
      <c r="G12" s="227">
        <v>635</v>
      </c>
      <c r="H12" s="229">
        <v>635</v>
      </c>
      <c r="I12" s="232">
        <v>1</v>
      </c>
      <c r="J12" s="233"/>
      <c r="K12" s="225"/>
    </row>
    <row r="13" spans="1:11" ht="84" x14ac:dyDescent="0.2">
      <c r="A13" s="226" t="s">
        <v>1349</v>
      </c>
      <c r="B13" s="227" t="s">
        <v>1350</v>
      </c>
      <c r="C13" s="227"/>
      <c r="D13" s="227" t="s">
        <v>1351</v>
      </c>
      <c r="E13" s="228" t="s">
        <v>1352</v>
      </c>
      <c r="F13" s="226" t="s">
        <v>1353</v>
      </c>
      <c r="G13" s="227">
        <v>342</v>
      </c>
      <c r="H13" s="229">
        <v>7524</v>
      </c>
      <c r="I13" s="232">
        <v>22</v>
      </c>
      <c r="J13" s="233"/>
      <c r="K13" s="225"/>
    </row>
    <row r="14" spans="1:11" ht="60" x14ac:dyDescent="0.2">
      <c r="A14" s="226" t="s">
        <v>1354</v>
      </c>
      <c r="B14" s="227" t="s">
        <v>1355</v>
      </c>
      <c r="C14" s="227"/>
      <c r="D14" s="227" t="s">
        <v>1356</v>
      </c>
      <c r="E14" s="228" t="s">
        <v>1352</v>
      </c>
      <c r="F14" s="226" t="s">
        <v>1357</v>
      </c>
      <c r="G14" s="227" t="s">
        <v>1358</v>
      </c>
      <c r="H14" s="229">
        <v>8550</v>
      </c>
      <c r="I14" s="232">
        <v>25</v>
      </c>
      <c r="J14" s="233"/>
      <c r="K14" s="225"/>
    </row>
    <row r="15" spans="1:11" ht="60" x14ac:dyDescent="0.2">
      <c r="A15" s="226" t="s">
        <v>1359</v>
      </c>
      <c r="B15" s="227" t="s">
        <v>1360</v>
      </c>
      <c r="C15" s="227"/>
      <c r="D15" s="234" t="s">
        <v>1361</v>
      </c>
      <c r="E15" s="228" t="s">
        <v>1362</v>
      </c>
      <c r="F15" s="226" t="s">
        <v>1363</v>
      </c>
      <c r="G15" s="227">
        <v>290</v>
      </c>
      <c r="H15" s="229">
        <v>1740</v>
      </c>
      <c r="I15" s="232">
        <v>6</v>
      </c>
      <c r="J15" s="224"/>
      <c r="K15" s="225"/>
    </row>
    <row r="16" spans="1:11" ht="72" x14ac:dyDescent="0.2">
      <c r="A16" s="226" t="s">
        <v>1364</v>
      </c>
      <c r="B16" s="227" t="s">
        <v>1365</v>
      </c>
      <c r="C16" s="227"/>
      <c r="D16" s="227" t="s">
        <v>1366</v>
      </c>
      <c r="E16" s="228" t="s">
        <v>1367</v>
      </c>
      <c r="F16" s="226" t="s">
        <v>1368</v>
      </c>
      <c r="G16" s="227">
        <v>355</v>
      </c>
      <c r="H16" s="229">
        <v>4260</v>
      </c>
      <c r="I16" s="232">
        <v>12</v>
      </c>
      <c r="J16" s="233"/>
      <c r="K16" s="225"/>
    </row>
    <row r="17" spans="1:11" ht="72" x14ac:dyDescent="0.2">
      <c r="A17" s="226" t="s">
        <v>1369</v>
      </c>
      <c r="B17" s="227" t="s">
        <v>1312</v>
      </c>
      <c r="C17" s="227"/>
      <c r="D17" s="227" t="s">
        <v>1313</v>
      </c>
      <c r="E17" s="228" t="s">
        <v>1314</v>
      </c>
      <c r="F17" s="226" t="s">
        <v>1370</v>
      </c>
      <c r="G17" s="227">
        <v>6120</v>
      </c>
      <c r="H17" s="229">
        <v>24480</v>
      </c>
      <c r="I17" s="232">
        <v>4</v>
      </c>
      <c r="J17" s="233"/>
      <c r="K17" s="225"/>
    </row>
    <row r="18" spans="1:11" ht="72" x14ac:dyDescent="0.2">
      <c r="A18" s="226" t="s">
        <v>1371</v>
      </c>
      <c r="B18" s="227" t="s">
        <v>1372</v>
      </c>
      <c r="C18" s="227"/>
      <c r="D18" s="227" t="s">
        <v>1373</v>
      </c>
      <c r="E18" s="228" t="s">
        <v>1374</v>
      </c>
      <c r="F18" s="226" t="s">
        <v>1375</v>
      </c>
      <c r="G18" s="227">
        <v>28694</v>
      </c>
      <c r="H18" s="229">
        <v>114776</v>
      </c>
      <c r="I18" s="232">
        <v>4</v>
      </c>
      <c r="J18" s="224"/>
      <c r="K18" s="225"/>
    </row>
    <row r="19" spans="1:11" ht="60" x14ac:dyDescent="0.2">
      <c r="A19" s="226" t="s">
        <v>1376</v>
      </c>
      <c r="B19" s="227" t="s">
        <v>1377</v>
      </c>
      <c r="C19" s="227"/>
      <c r="D19" s="234" t="s">
        <v>1378</v>
      </c>
      <c r="E19" s="228" t="s">
        <v>1379</v>
      </c>
      <c r="F19" s="226" t="s">
        <v>1380</v>
      </c>
      <c r="G19" s="227">
        <v>31161</v>
      </c>
      <c r="H19" s="229">
        <v>249288</v>
      </c>
      <c r="I19" s="232">
        <v>8</v>
      </c>
      <c r="J19" s="224"/>
      <c r="K19" s="225"/>
    </row>
    <row r="20" spans="1:11" ht="72" x14ac:dyDescent="0.2">
      <c r="A20" s="226" t="s">
        <v>1381</v>
      </c>
      <c r="B20" s="227" t="s">
        <v>1382</v>
      </c>
      <c r="C20" s="227"/>
      <c r="D20" s="227" t="s">
        <v>1383</v>
      </c>
      <c r="E20" s="228"/>
      <c r="F20" s="226" t="s">
        <v>1384</v>
      </c>
      <c r="G20" s="227">
        <v>8114</v>
      </c>
      <c r="H20" s="229">
        <v>121710</v>
      </c>
      <c r="I20" s="232">
        <v>15</v>
      </c>
      <c r="J20" s="233"/>
      <c r="K20" s="225"/>
    </row>
    <row r="21" spans="1:11" ht="24" x14ac:dyDescent="0.2">
      <c r="A21" s="226" t="s">
        <v>1385</v>
      </c>
      <c r="B21" s="227" t="s">
        <v>1382</v>
      </c>
      <c r="C21" s="227"/>
      <c r="D21" s="227" t="s">
        <v>1386</v>
      </c>
      <c r="E21" s="228"/>
      <c r="F21" s="226" t="s">
        <v>1387</v>
      </c>
      <c r="G21" s="227">
        <v>9000</v>
      </c>
      <c r="H21" s="229">
        <v>45000</v>
      </c>
      <c r="I21" s="232">
        <v>5</v>
      </c>
      <c r="J21" s="224"/>
      <c r="K21" s="225"/>
    </row>
    <row r="22" spans="1:11" ht="72" x14ac:dyDescent="0.2">
      <c r="A22" s="226" t="s">
        <v>1388</v>
      </c>
      <c r="B22" s="227" t="s">
        <v>1389</v>
      </c>
      <c r="C22" s="227"/>
      <c r="D22" s="227" t="s">
        <v>1390</v>
      </c>
      <c r="E22" s="228" t="s">
        <v>1391</v>
      </c>
      <c r="F22" s="226" t="s">
        <v>1392</v>
      </c>
      <c r="G22" s="227">
        <v>133063</v>
      </c>
      <c r="H22" s="229">
        <v>798378</v>
      </c>
      <c r="I22" s="232">
        <v>6</v>
      </c>
      <c r="J22" s="224"/>
      <c r="K22" s="225"/>
    </row>
    <row r="23" spans="1:11" ht="60" x14ac:dyDescent="0.2">
      <c r="A23" s="226" t="s">
        <v>1393</v>
      </c>
      <c r="B23" s="227" t="s">
        <v>1394</v>
      </c>
      <c r="C23" s="227"/>
      <c r="D23" s="227" t="s">
        <v>1395</v>
      </c>
      <c r="E23" s="228" t="s">
        <v>1396</v>
      </c>
      <c r="F23" s="226" t="s">
        <v>1397</v>
      </c>
      <c r="G23" s="227">
        <v>645</v>
      </c>
      <c r="H23" s="229">
        <v>2480</v>
      </c>
      <c r="I23" s="232">
        <v>4</v>
      </c>
      <c r="J23" s="233"/>
      <c r="K23" s="225"/>
    </row>
    <row r="24" spans="1:11" ht="60" x14ac:dyDescent="0.2">
      <c r="A24" s="226" t="s">
        <v>1398</v>
      </c>
      <c r="B24" s="227" t="s">
        <v>1399</v>
      </c>
      <c r="C24" s="227"/>
      <c r="D24" s="227" t="s">
        <v>1400</v>
      </c>
      <c r="E24" s="228" t="s">
        <v>1401</v>
      </c>
      <c r="F24" s="226" t="s">
        <v>1402</v>
      </c>
      <c r="G24" s="227">
        <v>1900</v>
      </c>
      <c r="H24" s="229">
        <v>1900</v>
      </c>
      <c r="I24" s="232">
        <v>1</v>
      </c>
      <c r="J24" s="224"/>
      <c r="K24" s="225"/>
    </row>
    <row r="25" spans="1:11" ht="24" x14ac:dyDescent="0.2">
      <c r="A25" s="226" t="s">
        <v>1403</v>
      </c>
      <c r="B25" s="235" t="s">
        <v>1404</v>
      </c>
      <c r="C25" s="235" t="s">
        <v>1405</v>
      </c>
      <c r="D25" s="236" t="s">
        <v>1406</v>
      </c>
      <c r="E25" s="237" t="s">
        <v>1407</v>
      </c>
      <c r="F25" s="238" t="s">
        <v>1408</v>
      </c>
      <c r="G25" s="227">
        <v>25000</v>
      </c>
      <c r="H25" s="229">
        <v>25000</v>
      </c>
      <c r="I25" s="232">
        <v>1</v>
      </c>
      <c r="J25" s="233"/>
      <c r="K25" s="225"/>
    </row>
    <row r="26" spans="1:11" ht="72" x14ac:dyDescent="0.2">
      <c r="A26" s="226" t="s">
        <v>1409</v>
      </c>
      <c r="B26" s="227" t="s">
        <v>1410</v>
      </c>
      <c r="C26" s="227"/>
      <c r="D26" s="227" t="s">
        <v>1411</v>
      </c>
      <c r="E26" s="228"/>
      <c r="F26" s="226" t="s">
        <v>1412</v>
      </c>
      <c r="G26" s="227">
        <v>4829</v>
      </c>
      <c r="H26" s="229">
        <v>19316</v>
      </c>
      <c r="I26" s="232">
        <v>4</v>
      </c>
      <c r="J26" s="233"/>
      <c r="K26" s="225"/>
    </row>
    <row r="27" spans="1:11" ht="36" x14ac:dyDescent="0.2">
      <c r="A27" s="226" t="s">
        <v>1413</v>
      </c>
      <c r="B27" s="227" t="s">
        <v>1410</v>
      </c>
      <c r="C27" s="227"/>
      <c r="D27" s="227" t="s">
        <v>1414</v>
      </c>
      <c r="E27" s="228"/>
      <c r="F27" s="226" t="s">
        <v>1415</v>
      </c>
      <c r="G27" s="227">
        <v>18672</v>
      </c>
      <c r="H27" s="229">
        <v>18672</v>
      </c>
      <c r="I27" s="232">
        <v>1</v>
      </c>
      <c r="J27" s="233"/>
      <c r="K27" s="225"/>
    </row>
    <row r="28" spans="1:11" ht="36" x14ac:dyDescent="0.2">
      <c r="A28" s="226" t="s">
        <v>1416</v>
      </c>
      <c r="B28" s="227" t="s">
        <v>1410</v>
      </c>
      <c r="C28" s="227"/>
      <c r="D28" s="227" t="s">
        <v>1417</v>
      </c>
      <c r="E28" s="228"/>
      <c r="F28" s="226" t="s">
        <v>1418</v>
      </c>
      <c r="G28" s="227">
        <v>8698</v>
      </c>
      <c r="H28" s="229">
        <v>17396</v>
      </c>
      <c r="I28" s="232">
        <v>2</v>
      </c>
      <c r="J28" s="233"/>
      <c r="K28" s="225"/>
    </row>
    <row r="29" spans="1:11" ht="72" x14ac:dyDescent="0.2">
      <c r="A29" s="226" t="s">
        <v>1419</v>
      </c>
      <c r="B29" s="227" t="s">
        <v>1420</v>
      </c>
      <c r="C29" s="227"/>
      <c r="D29" s="227" t="s">
        <v>1421</v>
      </c>
      <c r="E29" s="228"/>
      <c r="F29" s="226" t="s">
        <v>1422</v>
      </c>
      <c r="G29" s="227">
        <v>1421</v>
      </c>
      <c r="H29" s="229">
        <v>7105</v>
      </c>
      <c r="I29" s="232">
        <v>5</v>
      </c>
      <c r="J29" s="233"/>
      <c r="K29" s="225"/>
    </row>
    <row r="30" spans="1:11" ht="84" x14ac:dyDescent="0.2">
      <c r="A30" s="226" t="s">
        <v>1423</v>
      </c>
      <c r="B30" s="227" t="s">
        <v>1420</v>
      </c>
      <c r="C30" s="227"/>
      <c r="D30" s="227" t="s">
        <v>1424</v>
      </c>
      <c r="E30" s="228"/>
      <c r="F30" s="226" t="s">
        <v>1425</v>
      </c>
      <c r="G30" s="227">
        <v>72</v>
      </c>
      <c r="H30" s="229">
        <v>7776</v>
      </c>
      <c r="I30" s="232">
        <v>108</v>
      </c>
      <c r="J30" s="233"/>
      <c r="K30" s="225"/>
    </row>
    <row r="31" spans="1:11" ht="48" x14ac:dyDescent="0.2">
      <c r="A31" s="226" t="s">
        <v>1426</v>
      </c>
      <c r="B31" s="227" t="s">
        <v>1427</v>
      </c>
      <c r="C31" s="227"/>
      <c r="D31" s="227" t="s">
        <v>1428</v>
      </c>
      <c r="E31" s="228" t="s">
        <v>1429</v>
      </c>
      <c r="F31" s="226" t="s">
        <v>1430</v>
      </c>
      <c r="G31" s="227">
        <v>258</v>
      </c>
      <c r="H31" s="229">
        <v>15222</v>
      </c>
      <c r="I31" s="232">
        <v>59</v>
      </c>
      <c r="J31" s="233"/>
      <c r="K31" s="225"/>
    </row>
    <row r="32" spans="1:11" ht="48" x14ac:dyDescent="0.2">
      <c r="A32" s="226" t="s">
        <v>1431</v>
      </c>
      <c r="B32" s="227" t="s">
        <v>1427</v>
      </c>
      <c r="C32" s="227"/>
      <c r="D32" s="227" t="s">
        <v>1432</v>
      </c>
      <c r="E32" s="228" t="s">
        <v>1433</v>
      </c>
      <c r="F32" s="226" t="s">
        <v>1434</v>
      </c>
      <c r="G32" s="227">
        <v>298080</v>
      </c>
      <c r="H32" s="229">
        <v>298080</v>
      </c>
      <c r="I32" s="232">
        <v>1</v>
      </c>
      <c r="J32" s="233"/>
      <c r="K32" s="225"/>
    </row>
    <row r="33" spans="1:11" ht="36" x14ac:dyDescent="0.2">
      <c r="A33" s="226" t="s">
        <v>1435</v>
      </c>
      <c r="B33" s="227" t="s">
        <v>1436</v>
      </c>
      <c r="C33" s="227"/>
      <c r="D33" s="227" t="s">
        <v>1437</v>
      </c>
      <c r="E33" s="228"/>
      <c r="F33" s="226" t="s">
        <v>1438</v>
      </c>
      <c r="G33" s="227">
        <v>529</v>
      </c>
      <c r="H33" s="229">
        <v>5819</v>
      </c>
      <c r="I33" s="232">
        <v>11</v>
      </c>
      <c r="J33" s="233"/>
      <c r="K33" s="225"/>
    </row>
    <row r="34" spans="1:11" ht="24" x14ac:dyDescent="0.2">
      <c r="A34" s="226" t="s">
        <v>1439</v>
      </c>
      <c r="B34" s="227" t="s">
        <v>1436</v>
      </c>
      <c r="C34" s="227"/>
      <c r="D34" s="226" t="s">
        <v>1440</v>
      </c>
      <c r="E34" s="231"/>
      <c r="F34" s="226" t="s">
        <v>1441</v>
      </c>
      <c r="G34" s="227">
        <v>6539</v>
      </c>
      <c r="H34" s="229">
        <v>65390</v>
      </c>
      <c r="I34" s="232">
        <v>10</v>
      </c>
      <c r="J34" s="233"/>
      <c r="K34" s="225"/>
    </row>
    <row r="35" spans="1:11" ht="72" x14ac:dyDescent="0.2">
      <c r="A35" s="226" t="s">
        <v>1442</v>
      </c>
      <c r="B35" s="227" t="s">
        <v>1443</v>
      </c>
      <c r="C35" s="227"/>
      <c r="D35" s="227" t="s">
        <v>1444</v>
      </c>
      <c r="E35" s="228" t="s">
        <v>1445</v>
      </c>
      <c r="F35" s="226" t="s">
        <v>1446</v>
      </c>
      <c r="G35" s="227">
        <v>884</v>
      </c>
      <c r="H35" s="229">
        <v>83096</v>
      </c>
      <c r="I35" s="232">
        <v>94</v>
      </c>
      <c r="J35" s="233"/>
      <c r="K35" s="225"/>
    </row>
    <row r="36" spans="1:11" ht="24" x14ac:dyDescent="0.2">
      <c r="A36" s="226" t="s">
        <v>1447</v>
      </c>
      <c r="B36" s="227" t="s">
        <v>1448</v>
      </c>
      <c r="C36" s="227"/>
      <c r="D36" s="227" t="s">
        <v>1449</v>
      </c>
      <c r="E36" s="228"/>
      <c r="F36" s="226" t="s">
        <v>1450</v>
      </c>
      <c r="G36" s="227">
        <v>895</v>
      </c>
      <c r="H36" s="229">
        <v>28640</v>
      </c>
      <c r="I36" s="232">
        <v>32</v>
      </c>
      <c r="J36" s="233"/>
      <c r="K36" s="225"/>
    </row>
    <row r="37" spans="1:11" ht="48" x14ac:dyDescent="0.2">
      <c r="A37" s="226" t="s">
        <v>1451</v>
      </c>
      <c r="B37" s="227" t="s">
        <v>1452</v>
      </c>
      <c r="C37" s="227" t="s">
        <v>1453</v>
      </c>
      <c r="D37" s="227" t="s">
        <v>1454</v>
      </c>
      <c r="E37" s="228">
        <v>320</v>
      </c>
      <c r="F37" s="226" t="s">
        <v>1455</v>
      </c>
      <c r="G37" s="227">
        <v>15971</v>
      </c>
      <c r="H37" s="229">
        <v>47913</v>
      </c>
      <c r="I37" s="232">
        <v>3</v>
      </c>
      <c r="J37" s="233"/>
      <c r="K37" s="225"/>
    </row>
    <row r="38" spans="1:11" ht="48" x14ac:dyDescent="0.2">
      <c r="A38" s="226" t="s">
        <v>1456</v>
      </c>
      <c r="B38" s="227" t="s">
        <v>1457</v>
      </c>
      <c r="C38" s="227"/>
      <c r="D38" s="227" t="s">
        <v>1458</v>
      </c>
      <c r="E38" s="228" t="s">
        <v>1401</v>
      </c>
      <c r="F38" s="226" t="s">
        <v>1459</v>
      </c>
      <c r="G38" s="227">
        <v>3500</v>
      </c>
      <c r="H38" s="229">
        <v>28000</v>
      </c>
      <c r="I38" s="232">
        <v>8</v>
      </c>
      <c r="J38" s="233"/>
      <c r="K38" s="225"/>
    </row>
    <row r="39" spans="1:11" ht="72" x14ac:dyDescent="0.2">
      <c r="A39" s="226" t="s">
        <v>1460</v>
      </c>
      <c r="B39" s="227" t="s">
        <v>1461</v>
      </c>
      <c r="C39" s="227"/>
      <c r="D39" s="227" t="s">
        <v>1462</v>
      </c>
      <c r="E39" s="228"/>
      <c r="F39" s="226" t="s">
        <v>1463</v>
      </c>
      <c r="G39" s="227">
        <v>3413</v>
      </c>
      <c r="H39" s="229">
        <v>51195</v>
      </c>
      <c r="I39" s="232">
        <v>15</v>
      </c>
      <c r="J39" s="224"/>
      <c r="K39" s="225"/>
    </row>
    <row r="40" spans="1:11" ht="72" x14ac:dyDescent="0.2">
      <c r="A40" s="226" t="s">
        <v>1464</v>
      </c>
      <c r="B40" s="227" t="s">
        <v>1465</v>
      </c>
      <c r="C40" s="227"/>
      <c r="D40" s="234" t="s">
        <v>1466</v>
      </c>
      <c r="E40" s="228"/>
      <c r="F40" s="226" t="s">
        <v>1467</v>
      </c>
      <c r="G40" s="227">
        <v>121855</v>
      </c>
      <c r="H40" s="229">
        <v>487420</v>
      </c>
      <c r="I40" s="232">
        <v>4</v>
      </c>
      <c r="J40" s="224"/>
      <c r="K40" s="225"/>
    </row>
    <row r="41" spans="1:11" ht="48" x14ac:dyDescent="0.2">
      <c r="A41" s="226" t="s">
        <v>1468</v>
      </c>
      <c r="B41" s="227" t="s">
        <v>1469</v>
      </c>
      <c r="C41" s="227"/>
      <c r="D41" s="227" t="s">
        <v>1470</v>
      </c>
      <c r="E41" s="228" t="s">
        <v>1471</v>
      </c>
      <c r="F41" s="226" t="s">
        <v>1472</v>
      </c>
      <c r="G41" s="227">
        <v>550</v>
      </c>
      <c r="H41" s="229"/>
      <c r="I41" s="232">
        <v>20</v>
      </c>
      <c r="J41" s="224"/>
      <c r="K41" s="225"/>
    </row>
    <row r="42" spans="1:11" ht="72" x14ac:dyDescent="0.2">
      <c r="A42" s="226" t="s">
        <v>1473</v>
      </c>
      <c r="B42" s="227" t="s">
        <v>1474</v>
      </c>
      <c r="C42" s="227"/>
      <c r="D42" s="227" t="s">
        <v>1475</v>
      </c>
      <c r="E42" s="228"/>
      <c r="F42" s="226" t="s">
        <v>1476</v>
      </c>
      <c r="G42" s="227">
        <v>1738</v>
      </c>
      <c r="H42" s="229">
        <v>1738</v>
      </c>
      <c r="I42" s="232">
        <v>1</v>
      </c>
      <c r="J42" s="224"/>
      <c r="K42" s="225"/>
    </row>
    <row r="43" spans="1:11" ht="36" x14ac:dyDescent="0.2">
      <c r="A43" s="227" t="s">
        <v>1477</v>
      </c>
      <c r="B43" s="227"/>
      <c r="C43" s="227" t="s">
        <v>1478</v>
      </c>
      <c r="D43" s="227" t="s">
        <v>1479</v>
      </c>
      <c r="E43" s="239"/>
      <c r="F43" s="226" t="s">
        <v>1480</v>
      </c>
      <c r="G43" s="227">
        <v>1738</v>
      </c>
      <c r="H43" s="229">
        <v>1738</v>
      </c>
      <c r="I43" s="232">
        <v>1</v>
      </c>
      <c r="J43" s="224"/>
      <c r="K43" s="225"/>
    </row>
    <row r="44" spans="1:11" ht="72" x14ac:dyDescent="0.2">
      <c r="A44" s="226" t="s">
        <v>1481</v>
      </c>
      <c r="B44" s="227" t="s">
        <v>1482</v>
      </c>
      <c r="C44" s="227"/>
      <c r="D44" s="234" t="s">
        <v>1483</v>
      </c>
      <c r="E44" s="228" t="s">
        <v>1484</v>
      </c>
      <c r="F44" s="226" t="s">
        <v>1485</v>
      </c>
      <c r="G44" s="227">
        <v>8493</v>
      </c>
      <c r="H44" s="229">
        <v>25317</v>
      </c>
      <c r="I44" s="232">
        <v>3</v>
      </c>
      <c r="J44" s="224"/>
      <c r="K44" s="225"/>
    </row>
    <row r="45" spans="1:11" ht="60" x14ac:dyDescent="0.2">
      <c r="A45" s="226" t="s">
        <v>1486</v>
      </c>
      <c r="B45" s="227" t="s">
        <v>1487</v>
      </c>
      <c r="C45" s="227"/>
      <c r="D45" s="227" t="s">
        <v>1488</v>
      </c>
      <c r="E45" s="228" t="s">
        <v>1489</v>
      </c>
      <c r="F45" s="226" t="s">
        <v>1490</v>
      </c>
      <c r="G45" s="227">
        <v>833</v>
      </c>
      <c r="H45" s="229">
        <v>9996</v>
      </c>
      <c r="I45" s="232">
        <v>12</v>
      </c>
      <c r="J45" s="224"/>
      <c r="K45" s="225"/>
    </row>
    <row r="46" spans="1:11" ht="84" x14ac:dyDescent="0.2">
      <c r="A46" s="226" t="s">
        <v>1491</v>
      </c>
      <c r="B46" s="227" t="s">
        <v>1492</v>
      </c>
      <c r="C46" s="227"/>
      <c r="D46" s="234" t="s">
        <v>1493</v>
      </c>
      <c r="E46" s="228"/>
      <c r="F46" s="226" t="s">
        <v>1494</v>
      </c>
      <c r="G46" s="227">
        <v>99813</v>
      </c>
      <c r="H46" s="229">
        <v>299439</v>
      </c>
      <c r="I46" s="232">
        <v>3</v>
      </c>
      <c r="J46" s="224"/>
      <c r="K46" s="225"/>
    </row>
    <row r="47" spans="1:11" ht="36" x14ac:dyDescent="0.2">
      <c r="A47" s="240" t="s">
        <v>1495</v>
      </c>
      <c r="B47" s="241" t="s">
        <v>1496</v>
      </c>
      <c r="C47" s="241"/>
      <c r="D47" s="241" t="s">
        <v>1497</v>
      </c>
      <c r="E47" s="242"/>
      <c r="F47" s="240" t="s">
        <v>1498</v>
      </c>
      <c r="G47" s="227">
        <v>1738</v>
      </c>
      <c r="H47" s="229">
        <v>3476</v>
      </c>
      <c r="I47" s="232">
        <v>2</v>
      </c>
      <c r="J47" s="224"/>
      <c r="K47" s="225"/>
    </row>
    <row r="48" spans="1:11" ht="36" x14ac:dyDescent="0.2">
      <c r="A48" s="226" t="s">
        <v>1499</v>
      </c>
      <c r="B48" s="227" t="s">
        <v>1500</v>
      </c>
      <c r="C48" s="227"/>
      <c r="D48" s="227" t="s">
        <v>1501</v>
      </c>
      <c r="E48" s="228" t="s">
        <v>1502</v>
      </c>
      <c r="F48" s="226" t="s">
        <v>1503</v>
      </c>
      <c r="G48" s="227">
        <v>9216</v>
      </c>
      <c r="H48" s="229">
        <v>101376</v>
      </c>
      <c r="I48" s="232">
        <v>11</v>
      </c>
      <c r="J48" s="224"/>
      <c r="K48" s="225"/>
    </row>
    <row r="49" spans="1:11" ht="36" x14ac:dyDescent="0.2">
      <c r="A49" s="226" t="s">
        <v>1504</v>
      </c>
      <c r="B49" s="227" t="s">
        <v>1505</v>
      </c>
      <c r="C49" s="227" t="s">
        <v>1496</v>
      </c>
      <c r="D49" s="227" t="s">
        <v>1497</v>
      </c>
      <c r="E49" s="228" t="s">
        <v>1506</v>
      </c>
      <c r="F49" s="226" t="s">
        <v>1498</v>
      </c>
      <c r="G49" s="227">
        <v>757</v>
      </c>
      <c r="H49" s="229">
        <v>3028</v>
      </c>
      <c r="I49" s="232"/>
      <c r="J49" s="224"/>
      <c r="K49" s="225"/>
    </row>
    <row r="50" spans="1:11" ht="60" x14ac:dyDescent="0.2">
      <c r="A50" s="226" t="s">
        <v>1507</v>
      </c>
      <c r="B50" s="227" t="s">
        <v>1508</v>
      </c>
      <c r="C50" s="227"/>
      <c r="D50" s="227" t="s">
        <v>1509</v>
      </c>
      <c r="E50" s="228"/>
      <c r="F50" s="226" t="s">
        <v>1510</v>
      </c>
      <c r="G50" s="227">
        <v>512</v>
      </c>
      <c r="H50" s="229">
        <v>3584</v>
      </c>
      <c r="I50" s="232"/>
      <c r="J50" s="224"/>
      <c r="K50" s="225"/>
    </row>
    <row r="51" spans="1:11" ht="60" x14ac:dyDescent="0.2">
      <c r="A51" s="243" t="s">
        <v>1507</v>
      </c>
      <c r="B51" s="244" t="s">
        <v>1508</v>
      </c>
      <c r="C51" s="244"/>
      <c r="D51" s="244" t="s">
        <v>1511</v>
      </c>
      <c r="E51" s="245"/>
      <c r="F51" s="243" t="s">
        <v>1512</v>
      </c>
      <c r="G51" s="227">
        <v>3607</v>
      </c>
      <c r="H51" s="229">
        <v>151494</v>
      </c>
      <c r="I51" s="232">
        <v>42</v>
      </c>
      <c r="J51" s="224"/>
      <c r="K51" s="225"/>
    </row>
    <row r="52" spans="1:11" ht="48" x14ac:dyDescent="0.2">
      <c r="A52" s="243" t="s">
        <v>1513</v>
      </c>
      <c r="B52" s="244" t="s">
        <v>1514</v>
      </c>
      <c r="C52" s="244" t="s">
        <v>1508</v>
      </c>
      <c r="D52" s="244" t="s">
        <v>1515</v>
      </c>
      <c r="E52" s="245"/>
      <c r="F52" s="243" t="s">
        <v>1510</v>
      </c>
      <c r="G52" s="227">
        <v>15320</v>
      </c>
      <c r="H52" s="229">
        <v>15320</v>
      </c>
      <c r="I52" s="232">
        <v>1</v>
      </c>
      <c r="J52" s="224"/>
      <c r="K52" s="225"/>
    </row>
    <row r="53" spans="1:11" ht="84" x14ac:dyDescent="0.2">
      <c r="A53" s="226" t="s">
        <v>1516</v>
      </c>
      <c r="B53" s="227" t="s">
        <v>1517</v>
      </c>
      <c r="C53" s="227"/>
      <c r="D53" s="234" t="s">
        <v>1518</v>
      </c>
      <c r="E53" s="228"/>
      <c r="F53" s="226" t="s">
        <v>1519</v>
      </c>
      <c r="G53" s="227">
        <v>2012</v>
      </c>
      <c r="H53" s="229">
        <v>2012</v>
      </c>
      <c r="I53" s="232">
        <v>1</v>
      </c>
      <c r="J53" s="224"/>
      <c r="K53" s="225"/>
    </row>
    <row r="54" spans="1:11" ht="48" x14ac:dyDescent="0.2">
      <c r="A54" s="226" t="s">
        <v>1520</v>
      </c>
      <c r="B54" s="227" t="s">
        <v>1521</v>
      </c>
      <c r="C54" s="227"/>
      <c r="D54" s="227" t="s">
        <v>1522</v>
      </c>
      <c r="E54" s="228"/>
      <c r="F54" s="226" t="s">
        <v>1523</v>
      </c>
      <c r="G54" s="227">
        <v>3578</v>
      </c>
      <c r="H54" s="229">
        <v>21468</v>
      </c>
      <c r="I54" s="232">
        <v>6</v>
      </c>
      <c r="J54" s="224"/>
      <c r="K54" s="225"/>
    </row>
    <row r="55" spans="1:11" ht="60" x14ac:dyDescent="0.2">
      <c r="A55" s="226" t="s">
        <v>1524</v>
      </c>
      <c r="B55" s="227" t="s">
        <v>1525</v>
      </c>
      <c r="C55" s="227"/>
      <c r="D55" s="234" t="s">
        <v>1526</v>
      </c>
      <c r="E55" s="228"/>
      <c r="F55" s="226" t="s">
        <v>1527</v>
      </c>
      <c r="G55" s="227">
        <v>2748</v>
      </c>
      <c r="H55" s="229">
        <v>214344</v>
      </c>
      <c r="I55" s="232">
        <v>78</v>
      </c>
      <c r="J55" s="224"/>
      <c r="K55" s="225"/>
    </row>
    <row r="56" spans="1:11" ht="48" x14ac:dyDescent="0.2">
      <c r="A56" s="246" t="s">
        <v>1528</v>
      </c>
      <c r="B56" s="247" t="s">
        <v>1529</v>
      </c>
      <c r="C56" s="247"/>
      <c r="D56" s="246" t="s">
        <v>1530</v>
      </c>
      <c r="E56" s="248"/>
      <c r="F56" s="246" t="s">
        <v>1531</v>
      </c>
      <c r="G56" s="227">
        <v>3607</v>
      </c>
      <c r="H56" s="229">
        <v>331844</v>
      </c>
      <c r="I56" s="232">
        <v>92</v>
      </c>
      <c r="J56" s="224"/>
      <c r="K56" s="225"/>
    </row>
    <row r="57" spans="1:11" ht="24" x14ac:dyDescent="0.2">
      <c r="A57" s="226" t="s">
        <v>1532</v>
      </c>
      <c r="B57" s="227" t="s">
        <v>1533</v>
      </c>
      <c r="C57" s="227"/>
      <c r="D57" s="234" t="s">
        <v>1534</v>
      </c>
      <c r="E57" s="228"/>
      <c r="F57" s="226" t="s">
        <v>1535</v>
      </c>
      <c r="G57" s="227">
        <v>2832</v>
      </c>
      <c r="H57" s="229">
        <v>2832</v>
      </c>
      <c r="I57" s="232">
        <v>1</v>
      </c>
      <c r="J57" s="224"/>
      <c r="K57" s="225"/>
    </row>
    <row r="58" spans="1:11" ht="60" x14ac:dyDescent="0.2">
      <c r="A58" s="226" t="s">
        <v>1536</v>
      </c>
      <c r="B58" s="227" t="s">
        <v>1537</v>
      </c>
      <c r="C58" s="227"/>
      <c r="D58" s="234" t="s">
        <v>1538</v>
      </c>
      <c r="E58" s="228"/>
      <c r="F58" s="226" t="s">
        <v>1539</v>
      </c>
      <c r="G58" s="227">
        <v>3572</v>
      </c>
      <c r="H58" s="229">
        <v>303620</v>
      </c>
      <c r="I58" s="232">
        <v>85</v>
      </c>
      <c r="J58" s="224"/>
      <c r="K58" s="225"/>
    </row>
    <row r="59" spans="1:11" ht="60" x14ac:dyDescent="0.2">
      <c r="A59" s="226" t="s">
        <v>1536</v>
      </c>
      <c r="B59" s="227" t="s">
        <v>1537</v>
      </c>
      <c r="C59" s="227"/>
      <c r="D59" s="234" t="s">
        <v>1540</v>
      </c>
      <c r="E59" s="228"/>
      <c r="F59" s="226" t="s">
        <v>1541</v>
      </c>
      <c r="G59" s="227">
        <v>497</v>
      </c>
      <c r="H59" s="229">
        <v>16898</v>
      </c>
      <c r="I59" s="232">
        <v>34</v>
      </c>
      <c r="J59" s="224"/>
      <c r="K59" s="225"/>
    </row>
    <row r="60" spans="1:11" ht="60" x14ac:dyDescent="0.2">
      <c r="A60" s="226" t="s">
        <v>1542</v>
      </c>
      <c r="B60" s="227" t="s">
        <v>1543</v>
      </c>
      <c r="C60" s="227"/>
      <c r="D60" s="227" t="s">
        <v>1544</v>
      </c>
      <c r="E60" s="228"/>
      <c r="F60" s="226" t="s">
        <v>1545</v>
      </c>
      <c r="G60" s="227">
        <v>7500</v>
      </c>
      <c r="H60" s="229">
        <v>45000</v>
      </c>
      <c r="I60" s="232">
        <v>6</v>
      </c>
      <c r="J60" s="224"/>
      <c r="K60" s="225"/>
    </row>
    <row r="61" spans="1:11" ht="60" x14ac:dyDescent="0.2">
      <c r="A61" s="226" t="s">
        <v>1546</v>
      </c>
      <c r="B61" s="227" t="s">
        <v>1547</v>
      </c>
      <c r="C61" s="227"/>
      <c r="D61" s="227" t="s">
        <v>1548</v>
      </c>
      <c r="E61" s="228" t="s">
        <v>1549</v>
      </c>
      <c r="F61" s="226" t="s">
        <v>1550</v>
      </c>
      <c r="G61" s="227">
        <v>8500</v>
      </c>
      <c r="H61" s="229">
        <v>25500</v>
      </c>
      <c r="I61" s="232">
        <v>3</v>
      </c>
      <c r="J61" s="224"/>
      <c r="K61" s="225"/>
    </row>
    <row r="62" spans="1:11" ht="36" x14ac:dyDescent="0.2">
      <c r="A62" s="226" t="s">
        <v>1551</v>
      </c>
      <c r="B62" s="227" t="s">
        <v>1547</v>
      </c>
      <c r="C62" s="227"/>
      <c r="D62" s="227" t="s">
        <v>1552</v>
      </c>
      <c r="E62" s="228"/>
      <c r="F62" s="226" t="s">
        <v>1553</v>
      </c>
      <c r="G62" s="227">
        <v>300000</v>
      </c>
      <c r="H62" s="229">
        <v>1800000</v>
      </c>
      <c r="I62" s="232">
        <v>6</v>
      </c>
      <c r="J62" s="224"/>
      <c r="K62" s="225"/>
    </row>
    <row r="63" spans="1:11" ht="48" x14ac:dyDescent="0.2">
      <c r="A63" s="226" t="s">
        <v>1554</v>
      </c>
      <c r="B63" s="227"/>
      <c r="C63" s="227" t="s">
        <v>1492</v>
      </c>
      <c r="D63" s="227" t="s">
        <v>1493</v>
      </c>
      <c r="E63" s="228"/>
      <c r="F63" s="226" t="s">
        <v>1494</v>
      </c>
      <c r="G63" s="227">
        <v>449</v>
      </c>
      <c r="H63" s="229">
        <v>11225</v>
      </c>
      <c r="I63" s="232">
        <v>25</v>
      </c>
      <c r="J63" s="224"/>
      <c r="K63" s="225"/>
    </row>
    <row r="64" spans="1:11" ht="84" x14ac:dyDescent="0.2">
      <c r="A64" s="226" t="s">
        <v>1555</v>
      </c>
      <c r="B64" s="227" t="s">
        <v>1556</v>
      </c>
      <c r="C64" s="227"/>
      <c r="D64" s="234" t="s">
        <v>1557</v>
      </c>
      <c r="E64" s="228"/>
      <c r="F64" s="226" t="s">
        <v>1558</v>
      </c>
      <c r="G64" s="227">
        <v>1329</v>
      </c>
      <c r="H64" s="229">
        <v>261813</v>
      </c>
      <c r="I64" s="232">
        <v>197</v>
      </c>
      <c r="J64" s="224"/>
      <c r="K64" s="225"/>
    </row>
    <row r="65" spans="1:12" ht="48" x14ac:dyDescent="0.2">
      <c r="A65" s="226" t="s">
        <v>1559</v>
      </c>
      <c r="B65" s="227" t="s">
        <v>1560</v>
      </c>
      <c r="C65" s="227"/>
      <c r="D65" s="234" t="s">
        <v>1561</v>
      </c>
      <c r="E65" s="228"/>
      <c r="F65" s="226" t="s">
        <v>1562</v>
      </c>
      <c r="G65" s="227">
        <v>449</v>
      </c>
      <c r="H65" s="229">
        <v>449</v>
      </c>
      <c r="I65" s="232">
        <v>1</v>
      </c>
      <c r="J65" s="224"/>
      <c r="K65" s="225"/>
    </row>
    <row r="66" spans="1:12" ht="36" x14ac:dyDescent="0.2">
      <c r="A66" s="226" t="s">
        <v>1563</v>
      </c>
      <c r="B66" s="227" t="s">
        <v>1564</v>
      </c>
      <c r="C66" s="227"/>
      <c r="D66" s="227" t="s">
        <v>1565</v>
      </c>
      <c r="E66" s="228"/>
      <c r="F66" s="226" t="s">
        <v>1566</v>
      </c>
      <c r="G66" s="227">
        <v>1790</v>
      </c>
      <c r="H66" s="229">
        <v>3580</v>
      </c>
      <c r="I66" s="232">
        <v>2</v>
      </c>
      <c r="J66" s="224"/>
      <c r="K66" s="225"/>
    </row>
    <row r="67" spans="1:12" ht="84" x14ac:dyDescent="0.2">
      <c r="A67" s="226" t="s">
        <v>1567</v>
      </c>
      <c r="B67" s="227" t="s">
        <v>1568</v>
      </c>
      <c r="C67" s="227"/>
      <c r="D67" s="234" t="s">
        <v>1569</v>
      </c>
      <c r="E67" s="228"/>
      <c r="F67" s="226" t="s">
        <v>1570</v>
      </c>
      <c r="G67" s="227">
        <v>1199</v>
      </c>
      <c r="H67" s="229">
        <v>22781</v>
      </c>
      <c r="I67" s="232">
        <v>19</v>
      </c>
      <c r="J67" s="224"/>
      <c r="K67" s="225"/>
    </row>
    <row r="68" spans="1:12" ht="36" x14ac:dyDescent="0.2">
      <c r="A68" s="246" t="s">
        <v>1571</v>
      </c>
      <c r="B68" s="247" t="s">
        <v>1572</v>
      </c>
      <c r="C68" s="247"/>
      <c r="D68" s="249" t="s">
        <v>1573</v>
      </c>
      <c r="E68" s="250" t="s">
        <v>1574</v>
      </c>
      <c r="F68" s="246" t="s">
        <v>1575</v>
      </c>
      <c r="G68" s="227">
        <v>282</v>
      </c>
      <c r="H68" s="229">
        <v>40326</v>
      </c>
      <c r="I68" s="232">
        <v>143</v>
      </c>
      <c r="J68" s="224"/>
      <c r="K68" s="225"/>
    </row>
    <row r="69" spans="1:12" ht="36" x14ac:dyDescent="0.2">
      <c r="A69" s="226" t="s">
        <v>1576</v>
      </c>
      <c r="B69" s="227" t="s">
        <v>1577</v>
      </c>
      <c r="C69" s="227"/>
      <c r="D69" s="234" t="s">
        <v>1576</v>
      </c>
      <c r="E69" s="228" t="s">
        <v>14</v>
      </c>
      <c r="F69" s="226" t="s">
        <v>1578</v>
      </c>
      <c r="G69" s="227">
        <v>282</v>
      </c>
      <c r="H69" s="229">
        <v>8742</v>
      </c>
      <c r="I69" s="232">
        <v>31</v>
      </c>
      <c r="J69" s="224"/>
      <c r="K69" s="225"/>
    </row>
    <row r="70" spans="1:12" ht="36" x14ac:dyDescent="0.2">
      <c r="A70" s="240" t="s">
        <v>1576</v>
      </c>
      <c r="B70" s="241"/>
      <c r="C70" s="241" t="s">
        <v>1572</v>
      </c>
      <c r="D70" s="241" t="s">
        <v>1573</v>
      </c>
      <c r="E70" s="242"/>
      <c r="F70" s="240" t="s">
        <v>1575</v>
      </c>
      <c r="G70" s="227">
        <v>377</v>
      </c>
      <c r="H70" s="229">
        <v>17342</v>
      </c>
      <c r="I70" s="232">
        <v>46</v>
      </c>
      <c r="J70" s="224"/>
      <c r="K70" s="225"/>
    </row>
    <row r="71" spans="1:12" ht="60" x14ac:dyDescent="0.2">
      <c r="A71" s="226" t="s">
        <v>1579</v>
      </c>
      <c r="B71" s="227" t="s">
        <v>1580</v>
      </c>
      <c r="C71" s="227"/>
      <c r="D71" s="227" t="s">
        <v>1581</v>
      </c>
      <c r="E71" s="228"/>
      <c r="F71" s="226" t="s">
        <v>1582</v>
      </c>
      <c r="G71" s="227">
        <v>1199</v>
      </c>
      <c r="H71" s="229">
        <v>83930</v>
      </c>
      <c r="I71" s="232">
        <v>70</v>
      </c>
      <c r="J71" s="224"/>
      <c r="K71" s="225"/>
    </row>
    <row r="72" spans="1:12" ht="36" x14ac:dyDescent="0.2">
      <c r="A72" s="226" t="s">
        <v>1583</v>
      </c>
      <c r="B72" s="227" t="s">
        <v>1584</v>
      </c>
      <c r="C72" s="227"/>
      <c r="D72" s="227" t="s">
        <v>1585</v>
      </c>
      <c r="E72" s="228" t="s">
        <v>1586</v>
      </c>
      <c r="F72" s="226" t="s">
        <v>1587</v>
      </c>
      <c r="G72" s="227" t="s">
        <v>1588</v>
      </c>
      <c r="H72" s="229"/>
      <c r="I72" s="232" t="s">
        <v>1588</v>
      </c>
      <c r="J72" s="224"/>
      <c r="K72" s="225"/>
    </row>
    <row r="73" spans="1:12" ht="36" x14ac:dyDescent="0.2">
      <c r="A73" s="226" t="s">
        <v>1589</v>
      </c>
      <c r="B73" s="227" t="s">
        <v>1590</v>
      </c>
      <c r="C73" s="227"/>
      <c r="D73" s="227" t="s">
        <v>1591</v>
      </c>
      <c r="E73" s="228"/>
      <c r="F73" s="226" t="s">
        <v>1592</v>
      </c>
      <c r="G73" s="227">
        <v>7939</v>
      </c>
      <c r="H73" s="229">
        <v>23817</v>
      </c>
      <c r="I73" s="232">
        <v>3</v>
      </c>
      <c r="J73" s="224"/>
      <c r="K73" s="225"/>
      <c r="L73" s="251"/>
    </row>
    <row r="74" spans="1:12" ht="60" x14ac:dyDescent="0.2">
      <c r="A74" s="226" t="s">
        <v>1593</v>
      </c>
      <c r="B74" s="227" t="s">
        <v>1594</v>
      </c>
      <c r="C74" s="227"/>
      <c r="D74" s="227" t="s">
        <v>1595</v>
      </c>
      <c r="E74" s="228" t="s">
        <v>1596</v>
      </c>
      <c r="F74" s="227" t="s">
        <v>1597</v>
      </c>
      <c r="G74" s="227">
        <v>8000</v>
      </c>
      <c r="H74" s="229">
        <v>144000</v>
      </c>
      <c r="I74" s="232">
        <v>18</v>
      </c>
      <c r="J74" s="224"/>
      <c r="K74" s="225"/>
    </row>
    <row r="75" spans="1:12" ht="48" x14ac:dyDescent="0.2">
      <c r="A75" s="226" t="s">
        <v>1598</v>
      </c>
      <c r="B75" s="227" t="s">
        <v>1599</v>
      </c>
      <c r="C75" s="227"/>
      <c r="D75" s="234" t="s">
        <v>1600</v>
      </c>
      <c r="E75" s="228"/>
      <c r="F75" s="226" t="s">
        <v>1601</v>
      </c>
      <c r="G75" s="227">
        <v>5650</v>
      </c>
      <c r="H75" s="229">
        <v>16950</v>
      </c>
      <c r="I75" s="232">
        <v>3</v>
      </c>
      <c r="J75" s="224"/>
      <c r="K75" s="225"/>
    </row>
    <row r="76" spans="1:12" ht="24" x14ac:dyDescent="0.2">
      <c r="A76" s="226" t="s">
        <v>1602</v>
      </c>
      <c r="B76" s="227" t="s">
        <v>1603</v>
      </c>
      <c r="C76" s="227"/>
      <c r="D76" s="234" t="s">
        <v>1604</v>
      </c>
      <c r="E76" s="228"/>
      <c r="F76" s="226" t="s">
        <v>1605</v>
      </c>
      <c r="G76" s="227">
        <v>100000</v>
      </c>
      <c r="H76" s="229">
        <v>100000</v>
      </c>
      <c r="I76" s="232">
        <v>1</v>
      </c>
      <c r="J76" s="224"/>
      <c r="K76" s="225"/>
    </row>
    <row r="77" spans="1:12" ht="72" x14ac:dyDescent="0.2">
      <c r="A77" s="226" t="s">
        <v>1606</v>
      </c>
      <c r="B77" s="227" t="s">
        <v>1607</v>
      </c>
      <c r="C77" s="227"/>
      <c r="D77" s="227" t="s">
        <v>1608</v>
      </c>
      <c r="E77" s="228"/>
      <c r="F77" s="226" t="s">
        <v>1609</v>
      </c>
      <c r="G77" s="227">
        <v>9546</v>
      </c>
      <c r="H77" s="229">
        <v>28638</v>
      </c>
      <c r="I77" s="232">
        <v>3</v>
      </c>
      <c r="J77" s="224"/>
      <c r="K77" s="225"/>
    </row>
    <row r="78" spans="1:12" ht="48" x14ac:dyDescent="0.2">
      <c r="A78" s="226" t="s">
        <v>1610</v>
      </c>
      <c r="B78" s="227" t="s">
        <v>1611</v>
      </c>
      <c r="C78" s="227"/>
      <c r="D78" s="227" t="s">
        <v>1612</v>
      </c>
      <c r="E78" s="239"/>
      <c r="F78" s="226" t="s">
        <v>1613</v>
      </c>
      <c r="G78" s="227">
        <v>17591</v>
      </c>
      <c r="H78" s="229">
        <v>35182</v>
      </c>
      <c r="I78" s="232">
        <v>2</v>
      </c>
      <c r="J78" s="224"/>
      <c r="K78" s="225"/>
    </row>
    <row r="79" spans="1:12" ht="60" x14ac:dyDescent="0.2">
      <c r="A79" s="226" t="s">
        <v>1614</v>
      </c>
      <c r="B79" s="227" t="s">
        <v>1615</v>
      </c>
      <c r="C79" s="227"/>
      <c r="D79" s="227" t="s">
        <v>1616</v>
      </c>
      <c r="E79" s="228"/>
      <c r="F79" s="226" t="s">
        <v>1617</v>
      </c>
      <c r="G79" s="227">
        <v>12512</v>
      </c>
      <c r="H79" s="229">
        <v>125120</v>
      </c>
      <c r="I79" s="232">
        <v>10</v>
      </c>
      <c r="J79" s="224"/>
      <c r="K79" s="225"/>
    </row>
    <row r="80" spans="1:12" ht="72" x14ac:dyDescent="0.2">
      <c r="A80" s="226" t="s">
        <v>1618</v>
      </c>
      <c r="B80" s="227" t="s">
        <v>1619</v>
      </c>
      <c r="C80" s="227"/>
      <c r="D80" s="227" t="s">
        <v>1620</v>
      </c>
      <c r="E80" s="228"/>
      <c r="F80" s="226" t="s">
        <v>1621</v>
      </c>
      <c r="G80" s="227">
        <v>19306</v>
      </c>
      <c r="H80" s="229">
        <v>231672</v>
      </c>
      <c r="I80" s="232">
        <v>12</v>
      </c>
      <c r="J80" s="224"/>
      <c r="K80" s="225"/>
    </row>
    <row r="81" spans="1:11" ht="72" x14ac:dyDescent="0.2">
      <c r="A81" s="240" t="s">
        <v>1622</v>
      </c>
      <c r="B81" s="241" t="s">
        <v>1623</v>
      </c>
      <c r="C81" s="241"/>
      <c r="D81" s="241" t="s">
        <v>1588</v>
      </c>
      <c r="E81" s="242"/>
      <c r="F81" s="240" t="s">
        <v>1588</v>
      </c>
      <c r="G81" s="227">
        <v>10508</v>
      </c>
      <c r="H81" s="229">
        <v>42032</v>
      </c>
      <c r="I81" s="232">
        <v>4</v>
      </c>
      <c r="J81" s="224"/>
      <c r="K81" s="225"/>
    </row>
    <row r="82" spans="1:11" ht="72" x14ac:dyDescent="0.2">
      <c r="A82" s="226" t="s">
        <v>1622</v>
      </c>
      <c r="B82" s="227"/>
      <c r="C82" s="227" t="s">
        <v>1624</v>
      </c>
      <c r="D82" s="227" t="s">
        <v>1625</v>
      </c>
      <c r="E82" s="228"/>
      <c r="F82" s="226" t="s">
        <v>1626</v>
      </c>
      <c r="G82" s="227">
        <v>11999</v>
      </c>
      <c r="H82" s="229">
        <v>35997</v>
      </c>
      <c r="I82" s="232">
        <v>3</v>
      </c>
      <c r="J82" s="224"/>
      <c r="K82" s="225"/>
    </row>
    <row r="83" spans="1:11" ht="84" x14ac:dyDescent="0.2">
      <c r="A83" s="226" t="s">
        <v>1627</v>
      </c>
      <c r="B83" s="227" t="s">
        <v>1623</v>
      </c>
      <c r="C83" s="227"/>
      <c r="D83" s="227" t="s">
        <v>1628</v>
      </c>
      <c r="E83" s="228"/>
      <c r="F83" s="226" t="s">
        <v>1629</v>
      </c>
      <c r="G83" s="227">
        <v>235</v>
      </c>
      <c r="H83" s="229">
        <v>1880</v>
      </c>
      <c r="I83" s="232">
        <v>8</v>
      </c>
      <c r="J83" s="224"/>
      <c r="K83" s="225"/>
    </row>
    <row r="84" spans="1:11" ht="60" x14ac:dyDescent="0.2">
      <c r="A84" s="243" t="s">
        <v>1630</v>
      </c>
      <c r="B84" s="244" t="s">
        <v>1631</v>
      </c>
      <c r="C84" s="244"/>
      <c r="D84" s="244" t="s">
        <v>1632</v>
      </c>
      <c r="E84" s="245" t="s">
        <v>1031</v>
      </c>
      <c r="F84" s="243" t="s">
        <v>1633</v>
      </c>
      <c r="G84" s="227">
        <v>759</v>
      </c>
      <c r="H84" s="229">
        <v>3036</v>
      </c>
      <c r="I84" s="232">
        <v>4</v>
      </c>
      <c r="J84" s="224"/>
      <c r="K84" s="225"/>
    </row>
    <row r="85" spans="1:11" ht="84" x14ac:dyDescent="0.2">
      <c r="A85" s="226" t="s">
        <v>1634</v>
      </c>
      <c r="B85" s="227" t="s">
        <v>1635</v>
      </c>
      <c r="C85" s="227"/>
      <c r="D85" s="227" t="s">
        <v>1628</v>
      </c>
      <c r="E85" s="228"/>
      <c r="F85" s="226" t="s">
        <v>1636</v>
      </c>
      <c r="G85" s="227">
        <v>669</v>
      </c>
      <c r="H85" s="229">
        <v>4683</v>
      </c>
      <c r="I85" s="232" t="s">
        <v>1637</v>
      </c>
      <c r="J85" s="224"/>
      <c r="K85" s="225"/>
    </row>
    <row r="86" spans="1:11" ht="48" x14ac:dyDescent="0.2">
      <c r="A86" s="226" t="s">
        <v>1638</v>
      </c>
      <c r="B86" s="227" t="s">
        <v>1639</v>
      </c>
      <c r="C86" s="227"/>
      <c r="D86" s="227" t="s">
        <v>1640</v>
      </c>
      <c r="E86" s="228"/>
      <c r="F86" s="226" t="s">
        <v>1641</v>
      </c>
      <c r="G86" s="227">
        <v>2187</v>
      </c>
      <c r="H86" s="229">
        <v>6561</v>
      </c>
      <c r="I86" s="232" t="s">
        <v>1642</v>
      </c>
      <c r="J86" s="224"/>
      <c r="K86" s="225"/>
    </row>
    <row r="87" spans="1:11" ht="48" x14ac:dyDescent="0.2">
      <c r="A87" s="226" t="s">
        <v>1638</v>
      </c>
      <c r="B87" s="227" t="s">
        <v>1639</v>
      </c>
      <c r="C87" s="227"/>
      <c r="D87" s="227" t="s">
        <v>1643</v>
      </c>
      <c r="E87" s="228"/>
      <c r="F87" s="226" t="s">
        <v>1644</v>
      </c>
      <c r="G87" s="227">
        <v>968</v>
      </c>
      <c r="H87" s="229">
        <v>2904</v>
      </c>
      <c r="I87" s="232">
        <v>3</v>
      </c>
      <c r="J87" s="224"/>
      <c r="K87" s="225"/>
    </row>
    <row r="88" spans="1:11" ht="48" x14ac:dyDescent="0.2">
      <c r="A88" s="226" t="s">
        <v>1638</v>
      </c>
      <c r="B88" s="227" t="s">
        <v>1639</v>
      </c>
      <c r="C88" s="227"/>
      <c r="D88" s="227" t="s">
        <v>1645</v>
      </c>
      <c r="E88" s="228"/>
      <c r="F88" s="226" t="s">
        <v>1646</v>
      </c>
      <c r="G88" s="227">
        <v>5386</v>
      </c>
      <c r="H88" s="229">
        <v>10772</v>
      </c>
      <c r="I88" s="232" t="s">
        <v>1647</v>
      </c>
      <c r="J88" s="224"/>
      <c r="K88" s="225"/>
    </row>
    <row r="89" spans="1:11" ht="60" x14ac:dyDescent="0.2">
      <c r="A89" s="226" t="s">
        <v>1648</v>
      </c>
      <c r="B89" s="227"/>
      <c r="C89" s="227" t="s">
        <v>1615</v>
      </c>
      <c r="D89" s="227" t="s">
        <v>1616</v>
      </c>
      <c r="E89" s="228"/>
      <c r="F89" s="226" t="s">
        <v>1617</v>
      </c>
      <c r="G89" s="227">
        <v>58</v>
      </c>
      <c r="H89" s="229">
        <v>58</v>
      </c>
      <c r="I89" s="232">
        <v>1</v>
      </c>
      <c r="J89" s="224"/>
      <c r="K89" s="225"/>
    </row>
    <row r="90" spans="1:11" ht="48" x14ac:dyDescent="0.2">
      <c r="A90" s="226" t="s">
        <v>1649</v>
      </c>
      <c r="B90" s="227"/>
      <c r="C90" s="227" t="s">
        <v>1650</v>
      </c>
      <c r="D90" s="227" t="s">
        <v>1651</v>
      </c>
      <c r="E90" s="228"/>
      <c r="F90" s="226" t="s">
        <v>1652</v>
      </c>
      <c r="G90" s="227">
        <v>360</v>
      </c>
      <c r="H90" s="229">
        <v>27000</v>
      </c>
      <c r="I90" s="232">
        <v>75</v>
      </c>
      <c r="J90" s="224"/>
      <c r="K90" s="225"/>
    </row>
    <row r="91" spans="1:11" ht="48" x14ac:dyDescent="0.2">
      <c r="A91" s="226" t="s">
        <v>1649</v>
      </c>
      <c r="B91" s="227" t="s">
        <v>1478</v>
      </c>
      <c r="C91" s="227"/>
      <c r="D91" s="234" t="s">
        <v>1653</v>
      </c>
      <c r="E91" s="228"/>
      <c r="F91" s="226" t="s">
        <v>1654</v>
      </c>
      <c r="G91" s="227">
        <v>182</v>
      </c>
      <c r="H91" s="229">
        <v>9282</v>
      </c>
      <c r="I91" s="232">
        <v>51</v>
      </c>
      <c r="J91" s="224"/>
      <c r="K91" s="225"/>
    </row>
    <row r="92" spans="1:11" ht="60" x14ac:dyDescent="0.2">
      <c r="A92" s="226" t="s">
        <v>1655</v>
      </c>
      <c r="B92" s="227" t="s">
        <v>1656</v>
      </c>
      <c r="C92" s="227"/>
      <c r="D92" s="227" t="s">
        <v>1657</v>
      </c>
      <c r="E92" s="228"/>
      <c r="F92" s="226" t="s">
        <v>1658</v>
      </c>
      <c r="G92" s="227">
        <v>150</v>
      </c>
      <c r="H92" s="229">
        <v>150</v>
      </c>
      <c r="I92" s="232">
        <v>1</v>
      </c>
      <c r="J92" s="224"/>
      <c r="K92" s="225"/>
    </row>
    <row r="93" spans="1:11" ht="60" x14ac:dyDescent="0.2">
      <c r="A93" s="226" t="s">
        <v>1659</v>
      </c>
      <c r="B93" s="227" t="s">
        <v>1660</v>
      </c>
      <c r="C93" s="227"/>
      <c r="D93" s="227" t="s">
        <v>1661</v>
      </c>
      <c r="E93" s="228"/>
      <c r="F93" s="226" t="s">
        <v>1662</v>
      </c>
      <c r="G93" s="227">
        <v>68</v>
      </c>
      <c r="H93" s="229">
        <v>14008</v>
      </c>
      <c r="I93" s="232">
        <v>206</v>
      </c>
      <c r="J93" s="224"/>
      <c r="K93" s="225"/>
    </row>
    <row r="94" spans="1:11" ht="72" x14ac:dyDescent="0.2">
      <c r="A94" s="226" t="s">
        <v>1663</v>
      </c>
      <c r="B94" s="227" t="s">
        <v>1664</v>
      </c>
      <c r="C94" s="227"/>
      <c r="D94" s="227" t="s">
        <v>1665</v>
      </c>
      <c r="E94" s="228" t="s">
        <v>1666</v>
      </c>
      <c r="F94" s="226" t="s">
        <v>1667</v>
      </c>
      <c r="G94" s="227">
        <v>1140</v>
      </c>
      <c r="H94" s="229">
        <v>25080</v>
      </c>
      <c r="I94" s="232">
        <v>22</v>
      </c>
      <c r="J94" s="224"/>
      <c r="K94" s="225"/>
    </row>
    <row r="95" spans="1:11" ht="24" x14ac:dyDescent="0.2">
      <c r="A95" s="226" t="s">
        <v>1668</v>
      </c>
      <c r="B95" s="227" t="s">
        <v>1669</v>
      </c>
      <c r="C95" s="227"/>
      <c r="D95" s="227" t="s">
        <v>1670</v>
      </c>
      <c r="E95" s="228"/>
      <c r="F95" s="226" t="s">
        <v>1671</v>
      </c>
      <c r="G95" s="227">
        <v>14537</v>
      </c>
      <c r="H95" s="229">
        <v>29074</v>
      </c>
      <c r="I95" s="232">
        <v>2</v>
      </c>
      <c r="J95" s="224"/>
      <c r="K95" s="225"/>
    </row>
    <row r="96" spans="1:11" ht="48" x14ac:dyDescent="0.2">
      <c r="A96" s="226" t="s">
        <v>1672</v>
      </c>
      <c r="B96" s="227" t="s">
        <v>1673</v>
      </c>
      <c r="C96" s="227"/>
      <c r="D96" s="227" t="s">
        <v>1674</v>
      </c>
      <c r="E96" s="228"/>
      <c r="F96" s="226" t="s">
        <v>1675</v>
      </c>
      <c r="G96" s="227">
        <v>120868</v>
      </c>
      <c r="H96" s="229">
        <v>3142568</v>
      </c>
      <c r="I96" s="232">
        <v>26</v>
      </c>
      <c r="J96" s="224"/>
      <c r="K96" s="225"/>
    </row>
    <row r="97" spans="1:11" ht="36" x14ac:dyDescent="0.2">
      <c r="A97" s="246" t="s">
        <v>1676</v>
      </c>
      <c r="B97" s="247" t="s">
        <v>1677</v>
      </c>
      <c r="C97" s="247"/>
      <c r="D97" s="249" t="s">
        <v>1678</v>
      </c>
      <c r="E97" s="250"/>
      <c r="F97" s="246" t="s">
        <v>1679</v>
      </c>
      <c r="G97" s="227">
        <v>99813</v>
      </c>
      <c r="H97" s="229">
        <v>99813</v>
      </c>
      <c r="I97" s="232">
        <v>1</v>
      </c>
      <c r="J97" s="224"/>
      <c r="K97" s="225"/>
    </row>
    <row r="98" spans="1:11" ht="48" x14ac:dyDescent="0.2">
      <c r="A98" s="226" t="s">
        <v>1680</v>
      </c>
      <c r="B98" s="227" t="s">
        <v>1681</v>
      </c>
      <c r="C98" s="227"/>
      <c r="D98" s="227" t="s">
        <v>1682</v>
      </c>
      <c r="E98" s="228"/>
      <c r="F98" s="226" t="s">
        <v>1683</v>
      </c>
      <c r="G98" s="227">
        <v>18500</v>
      </c>
      <c r="H98" s="229">
        <v>92500</v>
      </c>
      <c r="I98" s="232">
        <v>5</v>
      </c>
      <c r="J98" s="224"/>
      <c r="K98" s="225"/>
    </row>
    <row r="99" spans="1:11" ht="72" x14ac:dyDescent="0.2">
      <c r="A99" s="226" t="s">
        <v>1684</v>
      </c>
      <c r="B99" s="227" t="s">
        <v>1685</v>
      </c>
      <c r="C99" s="227"/>
      <c r="D99" s="227" t="s">
        <v>1686</v>
      </c>
      <c r="E99" s="228" t="s">
        <v>1687</v>
      </c>
      <c r="F99" s="226" t="s">
        <v>1688</v>
      </c>
      <c r="G99" s="227">
        <v>10935</v>
      </c>
      <c r="H99" s="229">
        <v>32805</v>
      </c>
      <c r="I99" s="232">
        <v>3</v>
      </c>
      <c r="J99" s="224"/>
      <c r="K99" s="225"/>
    </row>
    <row r="100" spans="1:11" x14ac:dyDescent="0.2">
      <c r="A100" s="226"/>
      <c r="B100" s="227"/>
      <c r="C100" s="227"/>
      <c r="D100" s="234"/>
      <c r="E100" s="227"/>
      <c r="F100" s="226"/>
      <c r="G100" s="227"/>
      <c r="H100" s="252"/>
      <c r="I100" s="252" t="s">
        <v>1689</v>
      </c>
      <c r="J100" s="224"/>
      <c r="K100" s="225"/>
    </row>
    <row r="101" spans="1:11" x14ac:dyDescent="0.2">
      <c r="A101" s="226"/>
      <c r="B101" s="227"/>
      <c r="C101" s="227"/>
      <c r="D101" s="227"/>
      <c r="E101" s="227"/>
      <c r="F101" s="226"/>
      <c r="G101" s="227"/>
      <c r="H101" s="252"/>
      <c r="I101" s="252"/>
      <c r="J101" s="224"/>
      <c r="K101" s="225"/>
    </row>
    <row r="102" spans="1:11" x14ac:dyDescent="0.2">
      <c r="A102" s="226"/>
      <c r="B102" s="227"/>
      <c r="C102" s="227"/>
      <c r="D102" s="234"/>
      <c r="E102" s="227"/>
      <c r="F102" s="226"/>
      <c r="G102" s="227"/>
      <c r="H102" s="252"/>
      <c r="I102" s="252"/>
      <c r="J102" s="224"/>
      <c r="K102" s="225"/>
    </row>
    <row r="103" spans="1:11" x14ac:dyDescent="0.2">
      <c r="A103" s="226"/>
      <c r="B103" s="227"/>
      <c r="C103" s="227"/>
      <c r="D103" s="227"/>
      <c r="E103" s="227"/>
      <c r="F103" s="226"/>
      <c r="G103" s="227"/>
      <c r="H103" s="252"/>
      <c r="I103" s="252"/>
      <c r="J103" s="224"/>
      <c r="K103" s="225"/>
    </row>
    <row r="104" spans="1:11" x14ac:dyDescent="0.2">
      <c r="A104" s="226"/>
      <c r="B104" s="227"/>
      <c r="C104" s="227"/>
      <c r="D104" s="227"/>
      <c r="E104" s="227"/>
      <c r="F104" s="226"/>
      <c r="G104" s="227"/>
      <c r="H104" s="252"/>
      <c r="I104" s="252"/>
      <c r="J104" s="224"/>
      <c r="K104" s="225"/>
    </row>
    <row r="105" spans="1:11" x14ac:dyDescent="0.2">
      <c r="A105" s="226"/>
      <c r="B105" s="227"/>
      <c r="C105" s="227"/>
      <c r="D105" s="227"/>
      <c r="E105" s="227"/>
      <c r="F105" s="226"/>
      <c r="G105" s="227"/>
      <c r="H105" s="252"/>
      <c r="I105" s="252"/>
      <c r="J105" s="224"/>
      <c r="K105" s="225"/>
    </row>
    <row r="106" spans="1:11" x14ac:dyDescent="0.2">
      <c r="A106" s="226"/>
      <c r="B106" s="227"/>
      <c r="C106" s="227"/>
      <c r="D106" s="234"/>
      <c r="E106" s="227"/>
      <c r="F106" s="226"/>
      <c r="G106" s="227"/>
      <c r="H106" s="252"/>
      <c r="I106" s="252"/>
      <c r="J106" s="224"/>
      <c r="K106" s="225"/>
    </row>
    <row r="107" spans="1:11" x14ac:dyDescent="0.2">
      <c r="A107" s="226"/>
      <c r="B107" s="227"/>
      <c r="C107" s="227"/>
      <c r="D107" s="234"/>
      <c r="E107" s="227"/>
      <c r="F107" s="226"/>
      <c r="G107" s="227"/>
      <c r="H107" s="252"/>
      <c r="I107" s="252"/>
      <c r="J107" s="224"/>
      <c r="K107" s="225"/>
    </row>
    <row r="108" spans="1:11" x14ac:dyDescent="0.2">
      <c r="A108" s="226"/>
      <c r="B108" s="227"/>
      <c r="C108" s="227"/>
      <c r="D108" s="227"/>
      <c r="E108" s="227"/>
      <c r="F108" s="226"/>
      <c r="G108" s="227"/>
      <c r="H108" s="252"/>
      <c r="I108" s="252"/>
      <c r="J108" s="224"/>
      <c r="K108" s="225"/>
    </row>
    <row r="109" spans="1:11" x14ac:dyDescent="0.2">
      <c r="A109" s="226"/>
      <c r="B109" s="227"/>
      <c r="C109" s="227"/>
      <c r="D109" s="226"/>
      <c r="E109" s="226"/>
      <c r="F109" s="226"/>
      <c r="G109" s="227"/>
      <c r="H109" s="252"/>
      <c r="I109" s="252"/>
      <c r="J109" s="224"/>
      <c r="K109" s="225"/>
    </row>
    <row r="110" spans="1:11" x14ac:dyDescent="0.2">
      <c r="A110" s="226"/>
      <c r="B110" s="227"/>
      <c r="C110" s="227"/>
      <c r="D110" s="227"/>
      <c r="E110" s="227"/>
      <c r="F110" s="226"/>
      <c r="G110" s="227"/>
      <c r="H110" s="252"/>
      <c r="I110" s="252"/>
      <c r="J110" s="224"/>
      <c r="K110" s="225"/>
    </row>
    <row r="111" spans="1:11" x14ac:dyDescent="0.2">
      <c r="A111" s="226"/>
      <c r="B111" s="227"/>
      <c r="C111" s="227"/>
      <c r="D111" s="227"/>
      <c r="E111" s="227"/>
      <c r="F111" s="226"/>
      <c r="G111" s="227"/>
      <c r="H111" s="252"/>
      <c r="I111" s="252"/>
      <c r="J111" s="224"/>
      <c r="K111" s="225"/>
    </row>
    <row r="112" spans="1:11" x14ac:dyDescent="0.2">
      <c r="A112" s="226"/>
      <c r="B112" s="227"/>
      <c r="C112" s="227"/>
      <c r="D112" s="234"/>
      <c r="E112" s="227"/>
      <c r="F112" s="226"/>
      <c r="G112" s="227"/>
      <c r="H112" s="252"/>
      <c r="I112" s="252"/>
      <c r="J112" s="224"/>
      <c r="K112" s="225"/>
    </row>
    <row r="113" spans="1:19" x14ac:dyDescent="0.2">
      <c r="A113" s="226"/>
      <c r="B113" s="227"/>
      <c r="C113" s="227"/>
      <c r="D113" s="227"/>
      <c r="E113" s="227"/>
      <c r="F113" s="226"/>
      <c r="G113" s="227"/>
      <c r="H113" s="252"/>
      <c r="I113" s="252"/>
      <c r="J113" s="224"/>
      <c r="K113" s="225"/>
    </row>
    <row r="114" spans="1:19" x14ac:dyDescent="0.2">
      <c r="A114" s="226"/>
      <c r="B114" s="227"/>
      <c r="C114" s="227"/>
      <c r="D114" s="227"/>
      <c r="E114" s="227"/>
      <c r="F114" s="226"/>
      <c r="G114" s="227"/>
      <c r="H114" s="252"/>
      <c r="I114" s="252"/>
      <c r="J114" s="224"/>
      <c r="K114" s="225"/>
    </row>
    <row r="115" spans="1:19" x14ac:dyDescent="0.2">
      <c r="A115" s="226"/>
      <c r="B115" s="227"/>
      <c r="C115" s="227"/>
      <c r="D115" s="234"/>
      <c r="E115" s="227"/>
      <c r="F115" s="226"/>
      <c r="G115" s="227"/>
      <c r="H115" s="252"/>
      <c r="I115" s="252"/>
      <c r="J115" s="224"/>
      <c r="K115" s="225"/>
    </row>
    <row r="116" spans="1:19" x14ac:dyDescent="0.2">
      <c r="A116" s="226"/>
      <c r="B116" s="227"/>
      <c r="C116" s="227"/>
      <c r="D116" s="227"/>
      <c r="E116" s="227"/>
      <c r="F116" s="226"/>
      <c r="G116" s="227"/>
      <c r="H116" s="252"/>
      <c r="I116" s="252"/>
      <c r="J116" s="224"/>
      <c r="K116" s="225"/>
    </row>
    <row r="117" spans="1:19" x14ac:dyDescent="0.2">
      <c r="A117" s="226"/>
      <c r="B117" s="227"/>
      <c r="C117" s="227"/>
      <c r="D117" s="227"/>
      <c r="E117" s="227"/>
      <c r="F117" s="226"/>
      <c r="G117" s="227"/>
      <c r="H117" s="252"/>
      <c r="I117" s="252"/>
      <c r="J117" s="224"/>
      <c r="K117" s="225"/>
    </row>
    <row r="118" spans="1:19" x14ac:dyDescent="0.2">
      <c r="A118" s="226"/>
      <c r="B118" s="227"/>
      <c r="C118" s="227"/>
      <c r="D118" s="227"/>
      <c r="E118" s="227"/>
      <c r="F118" s="226"/>
      <c r="G118" s="227"/>
      <c r="H118" s="252"/>
      <c r="I118" s="252"/>
      <c r="J118" s="224"/>
      <c r="K118" s="225"/>
    </row>
    <row r="119" spans="1:19" x14ac:dyDescent="0.2">
      <c r="A119" s="226"/>
      <c r="B119" s="227"/>
      <c r="C119" s="227"/>
      <c r="D119" s="227"/>
      <c r="E119" s="227"/>
      <c r="F119" s="226"/>
      <c r="G119" s="227"/>
      <c r="H119" s="252"/>
      <c r="I119" s="252"/>
      <c r="J119" s="224"/>
      <c r="K119" s="225"/>
    </row>
    <row r="120" spans="1:19" x14ac:dyDescent="0.2">
      <c r="A120" s="226"/>
      <c r="B120" s="227"/>
      <c r="C120" s="227"/>
      <c r="D120" s="227"/>
      <c r="E120" s="227"/>
      <c r="F120" s="226"/>
      <c r="G120" s="227"/>
      <c r="H120" s="252"/>
      <c r="I120" s="252"/>
      <c r="J120" s="224"/>
      <c r="K120" s="225"/>
    </row>
    <row r="121" spans="1:19" x14ac:dyDescent="0.2">
      <c r="A121" s="226"/>
      <c r="B121" s="227"/>
      <c r="C121" s="227"/>
      <c r="D121" s="227"/>
      <c r="E121" s="227"/>
      <c r="F121" s="226"/>
      <c r="G121" s="227"/>
      <c r="H121" s="252"/>
      <c r="I121" s="252"/>
      <c r="J121" s="224"/>
      <c r="K121" s="225"/>
    </row>
    <row r="122" spans="1:19" x14ac:dyDescent="0.2">
      <c r="A122" s="226"/>
      <c r="B122" s="227"/>
      <c r="C122" s="227"/>
      <c r="D122" s="227"/>
      <c r="E122" s="227"/>
      <c r="F122" s="226"/>
      <c r="G122" s="227"/>
      <c r="H122" s="252"/>
      <c r="I122" s="252"/>
      <c r="J122" s="224"/>
      <c r="K122" s="225"/>
    </row>
    <row r="123" spans="1:19" x14ac:dyDescent="0.2">
      <c r="A123" s="226"/>
      <c r="B123" s="227"/>
      <c r="C123" s="227"/>
      <c r="D123" s="234"/>
      <c r="E123" s="227"/>
      <c r="F123" s="226"/>
      <c r="G123" s="227"/>
      <c r="H123" s="252"/>
      <c r="I123" s="252"/>
      <c r="J123" s="224"/>
      <c r="K123" s="225"/>
    </row>
    <row r="124" spans="1:19" x14ac:dyDescent="0.2">
      <c r="A124" s="226"/>
      <c r="B124" s="227"/>
      <c r="C124" s="227"/>
      <c r="D124" s="234"/>
      <c r="E124" s="227"/>
      <c r="F124" s="226"/>
      <c r="G124" s="227"/>
      <c r="H124" s="252"/>
      <c r="I124" s="252"/>
      <c r="J124" s="224"/>
      <c r="K124" s="225"/>
    </row>
    <row r="125" spans="1:19" x14ac:dyDescent="0.2">
      <c r="A125" s="226"/>
      <c r="B125" s="227"/>
      <c r="C125" s="227"/>
      <c r="D125" s="234"/>
      <c r="E125" s="227"/>
      <c r="F125" s="226"/>
      <c r="G125" s="227"/>
      <c r="H125" s="252"/>
      <c r="I125" s="252"/>
      <c r="J125" s="224"/>
      <c r="K125" s="225"/>
    </row>
    <row r="126" spans="1:19" x14ac:dyDescent="0.2">
      <c r="A126" s="226"/>
      <c r="B126" s="227"/>
      <c r="C126" s="227"/>
      <c r="D126" s="234"/>
      <c r="E126" s="227"/>
      <c r="F126" s="226"/>
      <c r="G126" s="227"/>
      <c r="H126" s="252"/>
      <c r="I126" s="252"/>
      <c r="J126" s="224"/>
      <c r="K126" s="225"/>
    </row>
    <row r="127" spans="1:19" x14ac:dyDescent="0.2">
      <c r="L127" s="207"/>
      <c r="M127" s="207"/>
      <c r="N127" s="207"/>
      <c r="O127" s="207"/>
      <c r="P127" s="207"/>
      <c r="Q127" s="207"/>
      <c r="R127" s="207"/>
      <c r="S127" s="207"/>
    </row>
    <row r="128" spans="1:19" x14ac:dyDescent="0.2">
      <c r="A128" s="208"/>
      <c r="G128" s="208"/>
      <c r="L128" s="207"/>
      <c r="M128" s="207"/>
      <c r="N128" s="207"/>
      <c r="O128" s="207"/>
      <c r="P128" s="207"/>
      <c r="Q128" s="207"/>
      <c r="R128" s="207"/>
      <c r="S128" s="207"/>
    </row>
    <row r="129" spans="1:19" x14ac:dyDescent="0.2">
      <c r="A129" s="208"/>
      <c r="G129" s="208"/>
      <c r="L129" s="207"/>
      <c r="M129" s="207"/>
      <c r="N129" s="207"/>
      <c r="O129" s="207"/>
      <c r="P129" s="207"/>
      <c r="Q129" s="207"/>
      <c r="R129" s="207"/>
      <c r="S129" s="207"/>
    </row>
    <row r="130" spans="1:19" x14ac:dyDescent="0.2">
      <c r="A130" s="208"/>
      <c r="G130" s="208"/>
      <c r="L130" s="207"/>
      <c r="M130" s="207"/>
      <c r="N130" s="207"/>
      <c r="O130" s="207"/>
      <c r="P130" s="207"/>
      <c r="Q130" s="207"/>
      <c r="R130" s="207"/>
      <c r="S130" s="207"/>
    </row>
    <row r="131" spans="1:19" x14ac:dyDescent="0.2">
      <c r="A131" s="208"/>
      <c r="G131" s="208"/>
      <c r="L131" s="207"/>
      <c r="M131" s="207"/>
      <c r="N131" s="207"/>
      <c r="O131" s="207"/>
      <c r="P131" s="207"/>
      <c r="Q131" s="207"/>
      <c r="R131" s="207"/>
      <c r="S131" s="207"/>
    </row>
    <row r="132" spans="1:19" x14ac:dyDescent="0.2">
      <c r="A132" s="208"/>
      <c r="G132" s="208"/>
      <c r="L132" s="207"/>
      <c r="M132" s="207"/>
      <c r="N132" s="207"/>
      <c r="O132" s="207"/>
      <c r="P132" s="207"/>
      <c r="Q132" s="207"/>
      <c r="R132" s="207"/>
      <c r="S132" s="20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0"/>
  <sheetViews>
    <sheetView workbookViewId="0"/>
  </sheetViews>
  <sheetFormatPr defaultRowHeight="12.75" x14ac:dyDescent="0.2"/>
  <sheetData>
    <row r="1" spans="1:15" x14ac:dyDescent="0.2">
      <c r="O1" s="208"/>
    </row>
    <row r="2" spans="1:15" ht="69.75" x14ac:dyDescent="0.2">
      <c r="A2" s="253" t="s">
        <v>1690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10"/>
    </row>
    <row r="3" spans="1:15" ht="47.25" x14ac:dyDescent="0.2">
      <c r="A3" s="254" t="s">
        <v>3</v>
      </c>
      <c r="B3" s="255" t="s">
        <v>1691</v>
      </c>
      <c r="C3" s="255" t="s">
        <v>1692</v>
      </c>
      <c r="D3" s="215" t="s">
        <v>1304</v>
      </c>
      <c r="E3" s="215" t="s">
        <v>1693</v>
      </c>
      <c r="F3" s="213" t="s">
        <v>1694</v>
      </c>
      <c r="G3" s="212" t="s">
        <v>1695</v>
      </c>
      <c r="H3" s="215" t="s">
        <v>1696</v>
      </c>
      <c r="I3" s="215" t="s">
        <v>1308</v>
      </c>
      <c r="J3" s="215" t="s">
        <v>1697</v>
      </c>
      <c r="K3" s="256"/>
      <c r="L3" s="215"/>
      <c r="M3" s="215"/>
      <c r="N3" s="217" t="s">
        <v>1698</v>
      </c>
      <c r="O3" s="218" t="s">
        <v>1699</v>
      </c>
    </row>
    <row r="4" spans="1:15" ht="36" x14ac:dyDescent="0.2">
      <c r="A4" s="243"/>
      <c r="B4" s="243" t="s">
        <v>1700</v>
      </c>
      <c r="C4" s="243" t="s">
        <v>1701</v>
      </c>
      <c r="D4" s="257" t="s">
        <v>1517</v>
      </c>
      <c r="E4" s="244" t="s">
        <v>1518</v>
      </c>
      <c r="F4" s="244" t="s">
        <v>1702</v>
      </c>
      <c r="G4" s="244"/>
      <c r="H4" s="244">
        <v>19</v>
      </c>
      <c r="I4" s="243" t="s">
        <v>1519</v>
      </c>
      <c r="J4" s="244">
        <v>4</v>
      </c>
      <c r="K4" s="227"/>
      <c r="L4" s="252"/>
      <c r="M4" s="227"/>
      <c r="N4" s="258">
        <v>757</v>
      </c>
      <c r="O4" s="259">
        <v>3028</v>
      </c>
    </row>
    <row r="5" spans="1:15" ht="36" x14ac:dyDescent="0.2">
      <c r="A5" s="243"/>
      <c r="B5" s="243" t="s">
        <v>1703</v>
      </c>
      <c r="C5" s="243" t="s">
        <v>1704</v>
      </c>
      <c r="D5" s="244" t="s">
        <v>1452</v>
      </c>
      <c r="E5" s="244" t="s">
        <v>1705</v>
      </c>
      <c r="F5" s="244" t="s">
        <v>1706</v>
      </c>
      <c r="G5" s="244" t="s">
        <v>1706</v>
      </c>
      <c r="H5" s="244"/>
      <c r="I5" s="244" t="s">
        <v>1707</v>
      </c>
      <c r="J5" s="244">
        <v>15</v>
      </c>
      <c r="K5" s="227"/>
      <c r="L5" s="252"/>
      <c r="M5" s="252"/>
      <c r="N5" s="260"/>
    </row>
    <row r="6" spans="1:15" ht="48" x14ac:dyDescent="0.2">
      <c r="A6" s="243"/>
      <c r="B6" s="243" t="s">
        <v>1708</v>
      </c>
      <c r="C6" s="243" t="s">
        <v>1709</v>
      </c>
      <c r="D6" s="244" t="s">
        <v>1537</v>
      </c>
      <c r="E6" s="244" t="s">
        <v>1538</v>
      </c>
      <c r="F6" s="244" t="s">
        <v>1710</v>
      </c>
      <c r="G6" s="244" t="s">
        <v>1711</v>
      </c>
      <c r="H6" s="244"/>
      <c r="I6" s="243" t="s">
        <v>1539</v>
      </c>
      <c r="J6" s="244">
        <v>1</v>
      </c>
      <c r="K6" s="227"/>
      <c r="L6" s="252"/>
      <c r="M6" s="252"/>
      <c r="N6" s="260"/>
    </row>
    <row r="7" spans="1:15" ht="36" x14ac:dyDescent="0.2">
      <c r="A7" s="261"/>
      <c r="B7" s="243" t="s">
        <v>1712</v>
      </c>
      <c r="C7" s="243" t="s">
        <v>1709</v>
      </c>
      <c r="D7" s="244" t="s">
        <v>1537</v>
      </c>
      <c r="E7" s="244" t="s">
        <v>1713</v>
      </c>
      <c r="F7" s="244" t="s">
        <v>1710</v>
      </c>
      <c r="G7" s="244" t="s">
        <v>1714</v>
      </c>
      <c r="H7" s="244"/>
      <c r="I7" s="243" t="s">
        <v>1541</v>
      </c>
      <c r="J7" s="244">
        <v>83</v>
      </c>
      <c r="K7" s="227"/>
      <c r="L7" s="252"/>
      <c r="M7" s="252"/>
      <c r="N7" s="260"/>
    </row>
    <row r="8" spans="1:15" ht="48" x14ac:dyDescent="0.2">
      <c r="A8" s="261"/>
      <c r="B8" s="243" t="s">
        <v>1715</v>
      </c>
      <c r="C8" s="243" t="s">
        <v>1716</v>
      </c>
      <c r="D8" s="244" t="s">
        <v>1443</v>
      </c>
      <c r="E8" s="244" t="s">
        <v>1717</v>
      </c>
      <c r="F8" s="244" t="s">
        <v>1718</v>
      </c>
      <c r="G8" s="244" t="s">
        <v>1706</v>
      </c>
      <c r="H8" s="244"/>
      <c r="I8" s="243" t="s">
        <v>1446</v>
      </c>
      <c r="J8" s="244">
        <v>4</v>
      </c>
      <c r="K8" s="227"/>
      <c r="L8" s="252"/>
      <c r="M8" s="252"/>
      <c r="N8" s="260"/>
    </row>
    <row r="9" spans="1:15" ht="48" x14ac:dyDescent="0.2">
      <c r="A9" s="261"/>
      <c r="B9" s="243" t="s">
        <v>1719</v>
      </c>
      <c r="C9" s="243" t="s">
        <v>1720</v>
      </c>
      <c r="D9" s="244" t="s">
        <v>1389</v>
      </c>
      <c r="E9" s="244" t="s">
        <v>1390</v>
      </c>
      <c r="F9" s="244" t="s">
        <v>1721</v>
      </c>
      <c r="G9" s="244" t="s">
        <v>1706</v>
      </c>
      <c r="H9" s="244"/>
      <c r="I9" s="243" t="s">
        <v>1392</v>
      </c>
      <c r="J9" s="244">
        <v>1</v>
      </c>
      <c r="K9" s="227"/>
      <c r="L9" s="252"/>
      <c r="M9" s="252"/>
      <c r="N9" s="260"/>
    </row>
    <row r="10" spans="1:15" ht="48" x14ac:dyDescent="0.2">
      <c r="A10" s="261"/>
      <c r="B10" s="243" t="s">
        <v>1722</v>
      </c>
      <c r="C10" s="243" t="s">
        <v>1447</v>
      </c>
      <c r="D10" s="244" t="s">
        <v>1448</v>
      </c>
      <c r="E10" s="244" t="s">
        <v>1723</v>
      </c>
      <c r="F10" s="244" t="s">
        <v>1724</v>
      </c>
      <c r="G10" s="244" t="s">
        <v>1706</v>
      </c>
      <c r="H10" s="244"/>
      <c r="I10" s="243" t="s">
        <v>1450</v>
      </c>
      <c r="J10" s="244">
        <v>3</v>
      </c>
      <c r="K10" s="227"/>
      <c r="L10" s="252"/>
      <c r="M10" s="252"/>
      <c r="N10" s="260"/>
    </row>
    <row r="11" spans="1:15" ht="36" x14ac:dyDescent="0.2">
      <c r="A11" s="261"/>
      <c r="B11" s="243" t="s">
        <v>1725</v>
      </c>
      <c r="C11" s="243" t="s">
        <v>1726</v>
      </c>
      <c r="D11" s="244" t="s">
        <v>1707</v>
      </c>
      <c r="E11" s="243" t="s">
        <v>1725</v>
      </c>
      <c r="F11" s="243" t="s">
        <v>1706</v>
      </c>
      <c r="G11" s="243" t="s">
        <v>1706</v>
      </c>
      <c r="H11" s="243"/>
      <c r="I11" s="243" t="s">
        <v>1707</v>
      </c>
      <c r="J11" s="244">
        <v>1</v>
      </c>
      <c r="K11" s="227"/>
      <c r="L11" s="252"/>
      <c r="M11" s="252"/>
      <c r="N11" s="260"/>
    </row>
    <row r="12" spans="1:15" ht="96" x14ac:dyDescent="0.2">
      <c r="A12" s="261"/>
      <c r="B12" s="243" t="s">
        <v>1456</v>
      </c>
      <c r="C12" s="243" t="s">
        <v>1727</v>
      </c>
      <c r="D12" s="244" t="s">
        <v>1399</v>
      </c>
      <c r="E12" s="244" t="s">
        <v>1728</v>
      </c>
      <c r="F12" s="244" t="s">
        <v>1718</v>
      </c>
      <c r="G12" s="244" t="s">
        <v>1706</v>
      </c>
      <c r="H12" s="244"/>
      <c r="I12" s="243" t="s">
        <v>1402</v>
      </c>
      <c r="J12" s="244">
        <v>108</v>
      </c>
      <c r="K12" s="227"/>
      <c r="L12" s="252"/>
      <c r="M12" s="252"/>
      <c r="N12" s="260"/>
    </row>
    <row r="13" spans="1:15" ht="72" x14ac:dyDescent="0.2">
      <c r="A13" s="261"/>
      <c r="B13" s="243" t="s">
        <v>1456</v>
      </c>
      <c r="C13" s="243" t="s">
        <v>1727</v>
      </c>
      <c r="D13" s="244" t="s">
        <v>1457</v>
      </c>
      <c r="E13" s="244" t="s">
        <v>1729</v>
      </c>
      <c r="F13" s="244" t="s">
        <v>1718</v>
      </c>
      <c r="G13" s="244" t="s">
        <v>1706</v>
      </c>
      <c r="H13" s="244"/>
      <c r="I13" s="243" t="s">
        <v>1459</v>
      </c>
      <c r="J13" s="244">
        <v>59</v>
      </c>
      <c r="K13" s="227"/>
      <c r="L13" s="252"/>
      <c r="M13" s="252"/>
      <c r="N13" s="260"/>
    </row>
    <row r="14" spans="1:15" ht="36" x14ac:dyDescent="0.2">
      <c r="A14" s="261"/>
      <c r="B14" s="243" t="s">
        <v>1730</v>
      </c>
      <c r="C14" s="243" t="s">
        <v>1731</v>
      </c>
      <c r="D14" s="244" t="s">
        <v>1525</v>
      </c>
      <c r="E14" s="244" t="s">
        <v>1732</v>
      </c>
      <c r="F14" s="244">
        <v>7</v>
      </c>
      <c r="G14" s="244">
        <v>8</v>
      </c>
      <c r="H14" s="244">
        <v>19</v>
      </c>
      <c r="I14" s="243" t="s">
        <v>1527</v>
      </c>
      <c r="J14" s="244">
        <v>7</v>
      </c>
      <c r="K14" s="227"/>
      <c r="L14" s="252"/>
      <c r="M14" s="252"/>
      <c r="N14" s="258">
        <v>512</v>
      </c>
      <c r="O14" s="259">
        <v>3584</v>
      </c>
    </row>
    <row r="15" spans="1:15" ht="36" x14ac:dyDescent="0.2">
      <c r="A15" s="261"/>
      <c r="B15" s="243" t="s">
        <v>1367</v>
      </c>
      <c r="C15" s="243" t="s">
        <v>1733</v>
      </c>
      <c r="D15" s="244" t="s">
        <v>1365</v>
      </c>
      <c r="E15" s="244" t="s">
        <v>1366</v>
      </c>
      <c r="F15" s="244" t="s">
        <v>1721</v>
      </c>
      <c r="G15" s="244" t="s">
        <v>1706</v>
      </c>
      <c r="H15" s="244"/>
      <c r="I15" s="243" t="s">
        <v>1368</v>
      </c>
      <c r="J15" s="244">
        <v>5</v>
      </c>
      <c r="K15" s="227"/>
      <c r="L15" s="252"/>
      <c r="M15" s="252"/>
      <c r="N15" s="260"/>
    </row>
    <row r="16" spans="1:15" ht="24" x14ac:dyDescent="0.2">
      <c r="A16" s="261"/>
      <c r="B16" s="243" t="s">
        <v>1734</v>
      </c>
      <c r="C16" s="243" t="s">
        <v>1735</v>
      </c>
      <c r="D16" s="244" t="s">
        <v>1521</v>
      </c>
      <c r="E16" s="262" t="s">
        <v>1522</v>
      </c>
      <c r="F16" s="244">
        <v>6</v>
      </c>
      <c r="G16" s="244">
        <v>8</v>
      </c>
      <c r="H16" s="244">
        <v>19</v>
      </c>
      <c r="I16" s="243" t="s">
        <v>1523</v>
      </c>
      <c r="J16" s="244">
        <v>12</v>
      </c>
      <c r="K16" s="227"/>
      <c r="L16" s="252"/>
      <c r="M16" s="252"/>
      <c r="N16" s="258">
        <v>833</v>
      </c>
      <c r="O16" s="259">
        <v>9996</v>
      </c>
    </row>
    <row r="17" spans="1:15" ht="24" x14ac:dyDescent="0.2">
      <c r="A17" s="261"/>
      <c r="B17" s="243" t="s">
        <v>1341</v>
      </c>
      <c r="C17" s="243" t="s">
        <v>1736</v>
      </c>
      <c r="D17" s="244" t="s">
        <v>1339</v>
      </c>
      <c r="E17" s="244" t="s">
        <v>1737</v>
      </c>
      <c r="F17" s="244" t="s">
        <v>1721</v>
      </c>
      <c r="G17" s="244" t="s">
        <v>1706</v>
      </c>
      <c r="H17" s="244"/>
      <c r="I17" s="243" t="s">
        <v>1342</v>
      </c>
      <c r="J17" s="244">
        <v>4</v>
      </c>
      <c r="K17" s="227"/>
      <c r="L17" s="252"/>
      <c r="M17" s="252"/>
      <c r="N17" s="260"/>
    </row>
    <row r="18" spans="1:15" ht="48" x14ac:dyDescent="0.2">
      <c r="A18" s="261"/>
      <c r="B18" s="243" t="s">
        <v>19</v>
      </c>
      <c r="C18" s="243" t="s">
        <v>1738</v>
      </c>
      <c r="D18" s="244" t="s">
        <v>1615</v>
      </c>
      <c r="E18" s="244" t="s">
        <v>1739</v>
      </c>
      <c r="F18" s="244" t="s">
        <v>1740</v>
      </c>
      <c r="G18" s="244" t="s">
        <v>1741</v>
      </c>
      <c r="H18" s="244" t="s">
        <v>1742</v>
      </c>
      <c r="I18" s="243" t="s">
        <v>1617</v>
      </c>
      <c r="J18" s="244">
        <v>66</v>
      </c>
      <c r="K18" s="227"/>
      <c r="L18" s="252"/>
      <c r="M18" s="252"/>
      <c r="N18" s="258">
        <v>1200</v>
      </c>
      <c r="O18" s="263">
        <v>84000</v>
      </c>
    </row>
    <row r="19" spans="1:15" ht="48" x14ac:dyDescent="0.2">
      <c r="A19" s="261"/>
      <c r="B19" s="243" t="s">
        <v>1743</v>
      </c>
      <c r="C19" s="243" t="s">
        <v>1744</v>
      </c>
      <c r="D19" s="244" t="s">
        <v>1474</v>
      </c>
      <c r="E19" s="244" t="s">
        <v>1745</v>
      </c>
      <c r="F19" s="244" t="s">
        <v>1746</v>
      </c>
      <c r="G19" s="244" t="s">
        <v>1747</v>
      </c>
      <c r="H19" s="244"/>
      <c r="I19" s="243" t="s">
        <v>1748</v>
      </c>
      <c r="J19" s="244">
        <v>12</v>
      </c>
      <c r="K19" s="227"/>
      <c r="L19" s="252"/>
      <c r="M19" s="252"/>
      <c r="N19" s="260"/>
    </row>
    <row r="20" spans="1:15" ht="48" x14ac:dyDescent="0.2">
      <c r="A20" s="261"/>
      <c r="B20" s="243" t="s">
        <v>1749</v>
      </c>
      <c r="C20" s="243" t="s">
        <v>1750</v>
      </c>
      <c r="D20" s="244" t="s">
        <v>1410</v>
      </c>
      <c r="E20" s="244" t="s">
        <v>1751</v>
      </c>
      <c r="F20" s="244" t="s">
        <v>1746</v>
      </c>
      <c r="G20" s="244" t="s">
        <v>1747</v>
      </c>
      <c r="H20" s="244"/>
      <c r="I20" s="243" t="s">
        <v>1752</v>
      </c>
      <c r="J20" s="244">
        <v>2</v>
      </c>
      <c r="K20" s="227"/>
      <c r="L20" s="252"/>
      <c r="M20" s="252"/>
      <c r="N20" s="260"/>
    </row>
    <row r="21" spans="1:15" ht="36" x14ac:dyDescent="0.2">
      <c r="A21" s="261"/>
      <c r="B21" s="243" t="s">
        <v>1753</v>
      </c>
      <c r="C21" s="243" t="s">
        <v>1754</v>
      </c>
      <c r="D21" s="244" t="s">
        <v>1755</v>
      </c>
      <c r="E21" s="244" t="s">
        <v>1437</v>
      </c>
      <c r="F21" s="244" t="s">
        <v>1756</v>
      </c>
      <c r="G21" s="244" t="s">
        <v>1706</v>
      </c>
      <c r="H21" s="244"/>
      <c r="I21" s="243" t="s">
        <v>1438</v>
      </c>
      <c r="J21" s="244">
        <v>32</v>
      </c>
      <c r="K21" s="227"/>
      <c r="L21" s="252"/>
      <c r="M21" s="252"/>
      <c r="N21" s="260"/>
    </row>
    <row r="22" spans="1:15" ht="48" x14ac:dyDescent="0.2">
      <c r="A22" s="261"/>
      <c r="B22" s="243" t="s">
        <v>1757</v>
      </c>
      <c r="C22" s="243" t="s">
        <v>1758</v>
      </c>
      <c r="D22" s="244" t="s">
        <v>1452</v>
      </c>
      <c r="E22" s="244" t="s">
        <v>1705</v>
      </c>
      <c r="F22" s="244" t="s">
        <v>1706</v>
      </c>
      <c r="G22" s="244" t="s">
        <v>1706</v>
      </c>
      <c r="H22" s="244"/>
      <c r="I22" s="243" t="s">
        <v>1707</v>
      </c>
      <c r="J22" s="244">
        <v>15</v>
      </c>
      <c r="K22" s="227"/>
      <c r="L22" s="252"/>
      <c r="M22" s="252"/>
      <c r="N22" s="260"/>
    </row>
    <row r="23" spans="1:15" ht="72" x14ac:dyDescent="0.2">
      <c r="A23" s="261"/>
      <c r="B23" s="243" t="s">
        <v>1759</v>
      </c>
      <c r="C23" s="243" t="s">
        <v>1760</v>
      </c>
      <c r="D23" s="244" t="s">
        <v>1761</v>
      </c>
      <c r="E23" s="244" t="s">
        <v>1762</v>
      </c>
      <c r="F23" s="244" t="s">
        <v>1724</v>
      </c>
      <c r="G23" s="244" t="s">
        <v>1706</v>
      </c>
      <c r="H23" s="244"/>
      <c r="I23" s="243" t="s">
        <v>1370</v>
      </c>
      <c r="J23" s="244">
        <v>8</v>
      </c>
      <c r="K23" s="227"/>
      <c r="L23" s="252"/>
      <c r="M23" s="252"/>
      <c r="N23" s="260"/>
    </row>
    <row r="24" spans="1:15" ht="48" x14ac:dyDescent="0.2">
      <c r="A24" s="261"/>
      <c r="B24" s="243" t="s">
        <v>1763</v>
      </c>
      <c r="C24" s="243" t="s">
        <v>1764</v>
      </c>
      <c r="D24" s="244" t="s">
        <v>1765</v>
      </c>
      <c r="E24" s="244" t="s">
        <v>1766</v>
      </c>
      <c r="F24" s="244" t="s">
        <v>1721</v>
      </c>
      <c r="G24" s="244" t="s">
        <v>1706</v>
      </c>
      <c r="H24" s="244"/>
      <c r="I24" s="243" t="s">
        <v>1767</v>
      </c>
      <c r="J24" s="244">
        <v>1</v>
      </c>
      <c r="K24" s="227"/>
      <c r="L24" s="252"/>
      <c r="M24" s="252"/>
      <c r="N24" s="260"/>
    </row>
    <row r="25" spans="1:15" ht="72" x14ac:dyDescent="0.2">
      <c r="A25" s="261"/>
      <c r="B25" s="243" t="s">
        <v>1768</v>
      </c>
      <c r="C25" s="243" t="s">
        <v>1769</v>
      </c>
      <c r="D25" s="244" t="s">
        <v>1619</v>
      </c>
      <c r="E25" s="244" t="s">
        <v>1770</v>
      </c>
      <c r="F25" s="244" t="s">
        <v>1771</v>
      </c>
      <c r="G25" s="244" t="s">
        <v>1772</v>
      </c>
      <c r="H25" s="244"/>
      <c r="I25" s="243" t="s">
        <v>1621</v>
      </c>
      <c r="J25" s="244">
        <v>22</v>
      </c>
      <c r="K25" s="227"/>
      <c r="L25" s="252"/>
      <c r="M25" s="252"/>
      <c r="N25" s="260"/>
    </row>
    <row r="26" spans="1:15" ht="48" x14ac:dyDescent="0.2">
      <c r="A26" s="261"/>
      <c r="B26" s="243" t="s">
        <v>1773</v>
      </c>
      <c r="C26" s="243" t="s">
        <v>1774</v>
      </c>
      <c r="D26" s="244" t="s">
        <v>1775</v>
      </c>
      <c r="E26" s="244" t="s">
        <v>1776</v>
      </c>
      <c r="F26" s="244" t="s">
        <v>1724</v>
      </c>
      <c r="G26" s="244" t="s">
        <v>1706</v>
      </c>
      <c r="H26" s="244"/>
      <c r="I26" s="243" t="s">
        <v>1777</v>
      </c>
      <c r="J26" s="244">
        <v>2</v>
      </c>
      <c r="K26" s="227"/>
      <c r="L26" s="252"/>
      <c r="M26" s="252"/>
      <c r="N26" s="260"/>
    </row>
    <row r="27" spans="1:15" ht="60" x14ac:dyDescent="0.2">
      <c r="A27" s="261"/>
      <c r="B27" s="243" t="s">
        <v>1778</v>
      </c>
      <c r="C27" s="243" t="s">
        <v>1352</v>
      </c>
      <c r="D27" s="244" t="s">
        <v>1355</v>
      </c>
      <c r="E27" s="244" t="s">
        <v>1779</v>
      </c>
      <c r="F27" s="244" t="s">
        <v>1718</v>
      </c>
      <c r="G27" s="244" t="s">
        <v>1780</v>
      </c>
      <c r="H27" s="244"/>
      <c r="I27" s="243" t="s">
        <v>1357</v>
      </c>
      <c r="J27" s="244">
        <v>4</v>
      </c>
      <c r="K27" s="227"/>
      <c r="L27" s="252"/>
      <c r="M27" s="252"/>
      <c r="N27" s="260"/>
    </row>
    <row r="28" spans="1:15" ht="36" x14ac:dyDescent="0.2">
      <c r="A28" s="261"/>
      <c r="B28" s="243" t="s">
        <v>1781</v>
      </c>
      <c r="C28" s="243" t="s">
        <v>1782</v>
      </c>
      <c r="D28" s="244" t="s">
        <v>1677</v>
      </c>
      <c r="E28" s="244" t="s">
        <v>1783</v>
      </c>
      <c r="F28" s="244" t="s">
        <v>1784</v>
      </c>
      <c r="G28" s="244" t="s">
        <v>1706</v>
      </c>
      <c r="H28" s="244"/>
      <c r="I28" s="243" t="s">
        <v>1679</v>
      </c>
      <c r="J28" s="244">
        <v>1</v>
      </c>
      <c r="K28" s="227"/>
      <c r="L28" s="252"/>
      <c r="M28" s="252"/>
      <c r="N28" s="260"/>
    </row>
    <row r="29" spans="1:15" ht="48" x14ac:dyDescent="0.2">
      <c r="A29" s="261"/>
      <c r="B29" s="243" t="s">
        <v>1361</v>
      </c>
      <c r="C29" s="243" t="s">
        <v>1785</v>
      </c>
      <c r="D29" s="244" t="s">
        <v>1360</v>
      </c>
      <c r="E29" s="244" t="s">
        <v>1786</v>
      </c>
      <c r="F29" s="244" t="s">
        <v>1721</v>
      </c>
      <c r="G29" s="244" t="s">
        <v>1718</v>
      </c>
      <c r="H29" s="244"/>
      <c r="I29" s="243" t="s">
        <v>1787</v>
      </c>
      <c r="J29" s="244">
        <v>6</v>
      </c>
      <c r="K29" s="227"/>
      <c r="L29" s="252"/>
      <c r="M29" s="252"/>
      <c r="N29" s="260"/>
    </row>
    <row r="30" spans="1:15" ht="48" x14ac:dyDescent="0.2">
      <c r="A30" s="261"/>
      <c r="B30" s="244" t="s">
        <v>19</v>
      </c>
      <c r="C30" s="243" t="s">
        <v>1738</v>
      </c>
      <c r="D30" s="244" t="s">
        <v>1615</v>
      </c>
      <c r="E30" s="244" t="s">
        <v>1739</v>
      </c>
      <c r="F30" s="244">
        <v>12</v>
      </c>
      <c r="G30" s="244">
        <v>20</v>
      </c>
      <c r="H30" s="244">
        <v>28</v>
      </c>
      <c r="I30" s="243" t="s">
        <v>1617</v>
      </c>
      <c r="J30" s="244">
        <v>17</v>
      </c>
      <c r="K30" s="227"/>
      <c r="L30" s="252"/>
      <c r="M30" s="252"/>
      <c r="N30" s="258">
        <v>1200</v>
      </c>
      <c r="O30" s="263">
        <v>16800</v>
      </c>
    </row>
    <row r="31" spans="1:15" ht="48" x14ac:dyDescent="0.2">
      <c r="A31" s="261"/>
      <c r="B31" s="243" t="s">
        <v>1788</v>
      </c>
      <c r="C31" s="243" t="s">
        <v>1789</v>
      </c>
      <c r="D31" s="244" t="s">
        <v>1564</v>
      </c>
      <c r="E31" s="244" t="s">
        <v>1790</v>
      </c>
      <c r="F31" s="244">
        <v>17</v>
      </c>
      <c r="G31" s="244"/>
      <c r="H31" s="244">
        <v>36</v>
      </c>
      <c r="I31" s="243" t="s">
        <v>1566</v>
      </c>
      <c r="J31" s="244">
        <v>206</v>
      </c>
      <c r="K31" s="227"/>
      <c r="L31" s="252"/>
      <c r="M31" s="252"/>
      <c r="N31" s="258">
        <v>74</v>
      </c>
      <c r="O31" s="263">
        <v>15244</v>
      </c>
    </row>
    <row r="32" spans="1:15" ht="48" x14ac:dyDescent="0.2">
      <c r="A32" s="261"/>
      <c r="B32" s="243" t="s">
        <v>1791</v>
      </c>
      <c r="C32" s="243" t="s">
        <v>1792</v>
      </c>
      <c r="D32" s="244" t="s">
        <v>1365</v>
      </c>
      <c r="E32" s="244" t="s">
        <v>1366</v>
      </c>
      <c r="F32" s="244">
        <v>2</v>
      </c>
      <c r="G32" s="244"/>
      <c r="H32" s="244">
        <v>10</v>
      </c>
      <c r="I32" s="243" t="s">
        <v>1368</v>
      </c>
      <c r="J32" s="244">
        <v>5</v>
      </c>
      <c r="K32" s="227"/>
      <c r="L32" s="252"/>
      <c r="M32" s="252"/>
      <c r="N32" s="264">
        <v>9000</v>
      </c>
      <c r="O32" s="263">
        <v>45000</v>
      </c>
    </row>
    <row r="33" spans="1:15" ht="36" x14ac:dyDescent="0.2">
      <c r="A33" s="261"/>
      <c r="B33" s="243" t="s">
        <v>1793</v>
      </c>
      <c r="C33" s="243" t="s">
        <v>1793</v>
      </c>
      <c r="D33" s="244" t="s">
        <v>1327</v>
      </c>
      <c r="E33" s="243" t="s">
        <v>1328</v>
      </c>
      <c r="F33" s="243" t="s">
        <v>1055</v>
      </c>
      <c r="G33" s="243"/>
      <c r="H33" s="243" t="s">
        <v>1062</v>
      </c>
      <c r="I33" s="243" t="s">
        <v>1330</v>
      </c>
      <c r="J33" s="244">
        <v>186</v>
      </c>
      <c r="K33" s="227"/>
      <c r="L33" s="252"/>
      <c r="M33" s="252"/>
      <c r="N33" s="258">
        <v>58</v>
      </c>
      <c r="O33" s="263">
        <v>10788</v>
      </c>
    </row>
    <row r="34" spans="1:15" ht="36" x14ac:dyDescent="0.2">
      <c r="A34" s="261"/>
      <c r="B34" s="243" t="s">
        <v>1324</v>
      </c>
      <c r="C34" s="243" t="s">
        <v>1794</v>
      </c>
      <c r="D34" s="244" t="s">
        <v>1322</v>
      </c>
      <c r="E34" s="244" t="s">
        <v>1323</v>
      </c>
      <c r="F34" s="244">
        <v>1</v>
      </c>
      <c r="G34" s="244"/>
      <c r="H34" s="244">
        <v>7</v>
      </c>
      <c r="I34" s="243" t="s">
        <v>1325</v>
      </c>
      <c r="J34" s="244">
        <v>3</v>
      </c>
      <c r="K34" s="227"/>
      <c r="L34" s="252"/>
      <c r="M34" s="252"/>
      <c r="N34" s="265">
        <v>32640</v>
      </c>
      <c r="O34" s="263">
        <v>97920</v>
      </c>
    </row>
    <row r="35" spans="1:15" ht="60" x14ac:dyDescent="0.2">
      <c r="A35" s="261"/>
      <c r="B35" s="243" t="s">
        <v>1352</v>
      </c>
      <c r="C35" s="243" t="s">
        <v>1795</v>
      </c>
      <c r="D35" s="244" t="s">
        <v>1355</v>
      </c>
      <c r="E35" s="244" t="s">
        <v>1779</v>
      </c>
      <c r="F35" s="244">
        <v>2</v>
      </c>
      <c r="G35" s="244">
        <v>4</v>
      </c>
      <c r="H35" s="244">
        <v>13</v>
      </c>
      <c r="I35" s="243" t="s">
        <v>1357</v>
      </c>
      <c r="J35" s="244">
        <v>4</v>
      </c>
      <c r="K35" s="227"/>
      <c r="L35" s="252"/>
      <c r="M35" s="252"/>
      <c r="N35" s="258">
        <v>4993</v>
      </c>
      <c r="O35" s="263">
        <v>19972</v>
      </c>
    </row>
    <row r="36" spans="1:15" ht="48" x14ac:dyDescent="0.2">
      <c r="A36" s="261"/>
      <c r="B36" s="243" t="s">
        <v>1362</v>
      </c>
      <c r="C36" s="243" t="s">
        <v>1785</v>
      </c>
      <c r="D36" s="244" t="s">
        <v>1360</v>
      </c>
      <c r="E36" s="244" t="s">
        <v>1361</v>
      </c>
      <c r="F36" s="244">
        <v>2</v>
      </c>
      <c r="G36" s="244">
        <v>2</v>
      </c>
      <c r="H36" s="244">
        <v>10</v>
      </c>
      <c r="I36" s="243" t="s">
        <v>1363</v>
      </c>
      <c r="J36" s="244">
        <v>6</v>
      </c>
      <c r="K36" s="227"/>
      <c r="L36" s="252"/>
      <c r="M36" s="252"/>
      <c r="N36" s="265">
        <v>133063</v>
      </c>
      <c r="O36" s="263">
        <v>798378</v>
      </c>
    </row>
    <row r="37" spans="1:15" ht="36" x14ac:dyDescent="0.2">
      <c r="A37" s="261"/>
      <c r="B37" s="243" t="s">
        <v>1796</v>
      </c>
      <c r="C37" s="243" t="s">
        <v>1797</v>
      </c>
      <c r="D37" s="244" t="s">
        <v>1537</v>
      </c>
      <c r="E37" s="244" t="s">
        <v>1713</v>
      </c>
      <c r="F37" s="244" t="s">
        <v>1798</v>
      </c>
      <c r="G37" s="244" t="s">
        <v>1799</v>
      </c>
      <c r="H37" s="244">
        <v>22</v>
      </c>
      <c r="I37" s="243" t="s">
        <v>1541</v>
      </c>
      <c r="J37" s="247">
        <v>85</v>
      </c>
      <c r="K37" s="227"/>
      <c r="L37" s="252"/>
      <c r="M37" s="252"/>
      <c r="N37" s="258">
        <v>4598</v>
      </c>
      <c r="O37" s="263">
        <v>390830</v>
      </c>
    </row>
    <row r="38" spans="1:15" ht="48" x14ac:dyDescent="0.2">
      <c r="A38" s="261"/>
      <c r="B38" s="243" t="s">
        <v>1796</v>
      </c>
      <c r="C38" s="243" t="s">
        <v>1797</v>
      </c>
      <c r="D38" s="244" t="s">
        <v>1537</v>
      </c>
      <c r="E38" s="244" t="s">
        <v>1538</v>
      </c>
      <c r="F38" s="244">
        <v>9</v>
      </c>
      <c r="G38" s="244">
        <v>12</v>
      </c>
      <c r="H38" s="244" t="s">
        <v>1800</v>
      </c>
      <c r="I38" s="243" t="s">
        <v>1539</v>
      </c>
      <c r="J38" s="244">
        <v>1</v>
      </c>
      <c r="K38" s="227"/>
      <c r="L38" s="252"/>
      <c r="M38" s="252"/>
      <c r="N38" s="258">
        <v>2832</v>
      </c>
      <c r="O38" s="259">
        <v>2832</v>
      </c>
    </row>
    <row r="39" spans="1:15" ht="60" x14ac:dyDescent="0.2">
      <c r="A39" s="261"/>
      <c r="B39" s="243" t="s">
        <v>1031</v>
      </c>
      <c r="C39" s="243" t="s">
        <v>1738</v>
      </c>
      <c r="D39" s="244" t="s">
        <v>1631</v>
      </c>
      <c r="E39" s="244" t="s">
        <v>1801</v>
      </c>
      <c r="F39" s="244">
        <v>4</v>
      </c>
      <c r="G39" s="244" t="s">
        <v>1802</v>
      </c>
      <c r="H39" s="244">
        <v>15</v>
      </c>
      <c r="I39" s="243" t="s">
        <v>1633</v>
      </c>
      <c r="J39" s="244">
        <v>11</v>
      </c>
      <c r="K39" s="227"/>
      <c r="L39" s="252"/>
      <c r="M39" s="252"/>
      <c r="N39" s="258">
        <v>407</v>
      </c>
      <c r="O39" s="259">
        <v>4477</v>
      </c>
    </row>
    <row r="40" spans="1:15" ht="48" x14ac:dyDescent="0.2">
      <c r="A40" s="261"/>
      <c r="B40" s="243" t="s">
        <v>1687</v>
      </c>
      <c r="C40" s="243" t="s">
        <v>1803</v>
      </c>
      <c r="D40" s="244" t="s">
        <v>1685</v>
      </c>
      <c r="E40" s="262" t="s">
        <v>1684</v>
      </c>
      <c r="F40" s="244">
        <v>2</v>
      </c>
      <c r="G40" s="244"/>
      <c r="H40" s="244" t="s">
        <v>1799</v>
      </c>
      <c r="I40" s="243"/>
      <c r="J40" s="244">
        <v>1</v>
      </c>
      <c r="K40" s="227"/>
      <c r="L40" s="252"/>
      <c r="M40" s="252"/>
      <c r="N40" s="264">
        <v>25000</v>
      </c>
      <c r="O40" s="259"/>
    </row>
    <row r="41" spans="1:15" ht="48" x14ac:dyDescent="0.2">
      <c r="A41" s="261"/>
      <c r="B41" s="243" t="s">
        <v>1804</v>
      </c>
      <c r="C41" s="243" t="s">
        <v>1805</v>
      </c>
      <c r="D41" s="244" t="s">
        <v>1514</v>
      </c>
      <c r="E41" s="262" t="s">
        <v>1515</v>
      </c>
      <c r="F41" s="244">
        <v>6</v>
      </c>
      <c r="G41" s="244">
        <v>8</v>
      </c>
      <c r="H41" s="244">
        <v>19</v>
      </c>
      <c r="I41" s="243" t="s">
        <v>1510</v>
      </c>
      <c r="J41" s="244">
        <v>2</v>
      </c>
      <c r="K41" s="227"/>
      <c r="L41" s="252"/>
      <c r="M41" s="252"/>
      <c r="N41" s="258">
        <v>1678</v>
      </c>
      <c r="O41" s="259">
        <v>3356</v>
      </c>
    </row>
    <row r="42" spans="1:15" ht="48" x14ac:dyDescent="0.2">
      <c r="A42" s="261"/>
      <c r="B42" s="243" t="s">
        <v>1804</v>
      </c>
      <c r="C42" s="243" t="s">
        <v>1805</v>
      </c>
      <c r="D42" s="244" t="s">
        <v>1508</v>
      </c>
      <c r="E42" s="262" t="s">
        <v>1515</v>
      </c>
      <c r="F42" s="244">
        <v>6</v>
      </c>
      <c r="G42" s="244">
        <v>7</v>
      </c>
      <c r="H42" s="244">
        <v>18</v>
      </c>
      <c r="I42" s="243" t="s">
        <v>1510</v>
      </c>
      <c r="J42" s="247">
        <v>1</v>
      </c>
      <c r="K42" s="227"/>
      <c r="L42" s="252"/>
      <c r="M42" s="252"/>
      <c r="N42" s="258">
        <v>1678</v>
      </c>
      <c r="O42" s="259">
        <v>1678</v>
      </c>
    </row>
    <row r="43" spans="1:15" ht="48" x14ac:dyDescent="0.2">
      <c r="A43" s="261"/>
      <c r="B43" s="243" t="s">
        <v>1804</v>
      </c>
      <c r="C43" s="243" t="s">
        <v>1805</v>
      </c>
      <c r="D43" s="244" t="s">
        <v>1508</v>
      </c>
      <c r="E43" s="262" t="s">
        <v>1511</v>
      </c>
      <c r="F43" s="244">
        <v>6</v>
      </c>
      <c r="G43" s="244">
        <v>7</v>
      </c>
      <c r="H43" s="244">
        <v>18</v>
      </c>
      <c r="I43" s="243" t="s">
        <v>1512</v>
      </c>
      <c r="J43" s="247">
        <v>1</v>
      </c>
      <c r="K43" s="227"/>
      <c r="L43" s="252"/>
      <c r="M43" s="252"/>
      <c r="N43" s="258">
        <v>1678</v>
      </c>
      <c r="O43" s="259">
        <v>1678</v>
      </c>
    </row>
    <row r="44" spans="1:15" ht="36" x14ac:dyDescent="0.2">
      <c r="A44" s="261"/>
      <c r="B44" s="243" t="s">
        <v>1429</v>
      </c>
      <c r="C44" s="243" t="s">
        <v>1806</v>
      </c>
      <c r="D44" s="244" t="s">
        <v>1427</v>
      </c>
      <c r="E44" s="262" t="s">
        <v>1807</v>
      </c>
      <c r="F44" s="244">
        <v>3</v>
      </c>
      <c r="G44" s="244"/>
      <c r="H44" s="244">
        <v>13</v>
      </c>
      <c r="I44" s="243" t="s">
        <v>1808</v>
      </c>
      <c r="J44" s="244">
        <v>5</v>
      </c>
      <c r="K44" s="227"/>
      <c r="L44" s="252"/>
      <c r="M44" s="252"/>
      <c r="N44" s="258">
        <v>1421</v>
      </c>
      <c r="O44" s="259">
        <v>7105</v>
      </c>
    </row>
    <row r="45" spans="1:15" ht="24" x14ac:dyDescent="0.2">
      <c r="A45" s="261"/>
      <c r="B45" s="243" t="s">
        <v>1809</v>
      </c>
      <c r="C45" s="243" t="s">
        <v>1810</v>
      </c>
      <c r="D45" s="244" t="s">
        <v>1811</v>
      </c>
      <c r="E45" s="262" t="s">
        <v>1812</v>
      </c>
      <c r="F45" s="244">
        <v>2</v>
      </c>
      <c r="G45" s="244">
        <v>4</v>
      </c>
      <c r="H45" s="244"/>
      <c r="I45" s="243" t="s">
        <v>1813</v>
      </c>
      <c r="J45" s="244">
        <v>1</v>
      </c>
      <c r="K45" s="227"/>
      <c r="L45" s="252"/>
      <c r="M45" s="252"/>
      <c r="N45" s="264">
        <v>341000</v>
      </c>
      <c r="O45" s="259"/>
    </row>
    <row r="46" spans="1:15" ht="36" x14ac:dyDescent="0.2">
      <c r="A46" s="261"/>
      <c r="B46" s="243" t="s">
        <v>1379</v>
      </c>
      <c r="C46" s="243" t="s">
        <v>1814</v>
      </c>
      <c r="D46" s="244" t="s">
        <v>1377</v>
      </c>
      <c r="E46" s="244" t="s">
        <v>1815</v>
      </c>
      <c r="F46" s="244" t="s">
        <v>1816</v>
      </c>
      <c r="G46" s="244">
        <v>1</v>
      </c>
      <c r="H46" s="244">
        <v>8</v>
      </c>
      <c r="I46" s="243" t="s">
        <v>1380</v>
      </c>
      <c r="J46" s="244">
        <v>4</v>
      </c>
      <c r="K46" s="227"/>
      <c r="L46" s="252"/>
      <c r="M46" s="252"/>
      <c r="N46" s="264">
        <v>28694</v>
      </c>
      <c r="O46" s="263">
        <v>114776</v>
      </c>
    </row>
    <row r="47" spans="1:15" ht="48" x14ac:dyDescent="0.2">
      <c r="A47" s="261"/>
      <c r="B47" s="243" t="s">
        <v>1374</v>
      </c>
      <c r="C47" s="243" t="s">
        <v>1817</v>
      </c>
      <c r="D47" s="244" t="s">
        <v>1443</v>
      </c>
      <c r="E47" s="244" t="s">
        <v>1818</v>
      </c>
      <c r="F47" s="244">
        <v>3</v>
      </c>
      <c r="G47" s="244"/>
      <c r="H47" s="244">
        <v>3</v>
      </c>
      <c r="I47" s="243" t="s">
        <v>1446</v>
      </c>
      <c r="J47" s="244">
        <v>4</v>
      </c>
      <c r="K47" s="227"/>
      <c r="L47" s="252"/>
      <c r="M47" s="252"/>
      <c r="N47" s="264">
        <v>13621</v>
      </c>
      <c r="O47" s="263">
        <v>54484</v>
      </c>
    </row>
    <row r="48" spans="1:15" ht="60" x14ac:dyDescent="0.2">
      <c r="A48" s="261"/>
      <c r="B48" s="243" t="s">
        <v>1374</v>
      </c>
      <c r="C48" s="243" t="s">
        <v>1817</v>
      </c>
      <c r="D48" s="244" t="s">
        <v>1372</v>
      </c>
      <c r="E48" s="244" t="s">
        <v>1819</v>
      </c>
      <c r="F48" s="244">
        <v>1</v>
      </c>
      <c r="G48" s="244">
        <v>1</v>
      </c>
      <c r="H48" s="244">
        <v>1</v>
      </c>
      <c r="I48" s="243" t="s">
        <v>1375</v>
      </c>
      <c r="J48" s="244">
        <v>4</v>
      </c>
      <c r="K48" s="227"/>
      <c r="L48" s="252"/>
      <c r="M48" s="252"/>
      <c r="N48" s="258"/>
      <c r="O48" s="259"/>
    </row>
    <row r="49" spans="1:15" ht="48" x14ac:dyDescent="0.2">
      <c r="A49" s="261"/>
      <c r="B49" s="243" t="s">
        <v>1666</v>
      </c>
      <c r="C49" s="243" t="s">
        <v>1820</v>
      </c>
      <c r="D49" s="244" t="s">
        <v>1568</v>
      </c>
      <c r="E49" s="262" t="s">
        <v>1569</v>
      </c>
      <c r="F49" s="244">
        <v>10</v>
      </c>
      <c r="G49" s="244">
        <v>17</v>
      </c>
      <c r="H49" s="244">
        <v>25</v>
      </c>
      <c r="I49" s="243" t="s">
        <v>1570</v>
      </c>
      <c r="J49" s="244">
        <v>5</v>
      </c>
      <c r="K49" s="227"/>
      <c r="L49" s="252"/>
      <c r="M49" s="252"/>
      <c r="N49" s="264">
        <v>300000</v>
      </c>
      <c r="O49" s="263">
        <v>1500000</v>
      </c>
    </row>
    <row r="50" spans="1:15" ht="48" x14ac:dyDescent="0.2">
      <c r="A50" s="261"/>
      <c r="B50" s="243" t="s">
        <v>1666</v>
      </c>
      <c r="C50" s="243" t="s">
        <v>1820</v>
      </c>
      <c r="D50" s="244" t="s">
        <v>1821</v>
      </c>
      <c r="E50" s="262" t="s">
        <v>1822</v>
      </c>
      <c r="F50" s="244" t="s">
        <v>1823</v>
      </c>
      <c r="G50" s="244"/>
      <c r="H50" s="244">
        <v>15</v>
      </c>
      <c r="I50" s="243" t="s">
        <v>1824</v>
      </c>
      <c r="J50" s="244">
        <v>1</v>
      </c>
      <c r="K50" s="227"/>
      <c r="L50" s="252"/>
      <c r="M50" s="252"/>
      <c r="N50" s="264">
        <v>171000</v>
      </c>
      <c r="O50" s="263">
        <v>171000</v>
      </c>
    </row>
    <row r="51" spans="1:15" ht="24" x14ac:dyDescent="0.2">
      <c r="A51" s="261"/>
      <c r="B51" s="243" t="s">
        <v>1825</v>
      </c>
      <c r="C51" s="243" t="s">
        <v>1825</v>
      </c>
      <c r="D51" s="244" t="s">
        <v>1826</v>
      </c>
      <c r="E51" s="262" t="s">
        <v>1827</v>
      </c>
      <c r="F51" s="244"/>
      <c r="G51" s="244"/>
      <c r="H51" s="244"/>
      <c r="I51" s="243" t="s">
        <v>1828</v>
      </c>
      <c r="J51" s="244">
        <v>1</v>
      </c>
      <c r="K51" s="227"/>
      <c r="L51" s="252"/>
      <c r="M51" s="252"/>
      <c r="N51" s="264">
        <v>75202</v>
      </c>
      <c r="O51" s="263">
        <v>75202</v>
      </c>
    </row>
    <row r="52" spans="1:15" ht="48" x14ac:dyDescent="0.2">
      <c r="A52" s="261"/>
      <c r="B52" s="243" t="s">
        <v>1829</v>
      </c>
      <c r="C52" s="243" t="s">
        <v>1830</v>
      </c>
      <c r="D52" s="244" t="s">
        <v>1660</v>
      </c>
      <c r="E52" s="262"/>
      <c r="F52" s="244"/>
      <c r="G52" s="244"/>
      <c r="H52" s="244">
        <v>27</v>
      </c>
      <c r="I52" s="243" t="s">
        <v>1662</v>
      </c>
      <c r="J52" s="244">
        <v>2</v>
      </c>
      <c r="K52" s="227"/>
      <c r="L52" s="252"/>
      <c r="M52" s="252"/>
      <c r="N52" s="258">
        <v>1755</v>
      </c>
      <c r="O52" s="259">
        <v>3510</v>
      </c>
    </row>
    <row r="53" spans="1:15" ht="24" x14ac:dyDescent="0.2">
      <c r="A53" s="261"/>
      <c r="B53" s="243" t="s">
        <v>1831</v>
      </c>
      <c r="C53" s="243" t="s">
        <v>1832</v>
      </c>
      <c r="D53" s="244" t="s">
        <v>1673</v>
      </c>
      <c r="E53" s="262" t="s">
        <v>1674</v>
      </c>
      <c r="F53" s="244">
        <v>17</v>
      </c>
      <c r="G53" s="244"/>
      <c r="H53" s="244">
        <v>32</v>
      </c>
      <c r="I53" s="243" t="s">
        <v>1675</v>
      </c>
      <c r="J53" s="247">
        <v>3</v>
      </c>
      <c r="K53" s="227"/>
      <c r="L53" s="252"/>
      <c r="M53" s="252"/>
      <c r="N53" s="258">
        <v>2187</v>
      </c>
      <c r="O53" s="259">
        <v>6561</v>
      </c>
    </row>
    <row r="54" spans="1:15" ht="36" x14ac:dyDescent="0.2">
      <c r="A54" s="261"/>
      <c r="B54" s="243" t="s">
        <v>360</v>
      </c>
      <c r="C54" s="243" t="s">
        <v>1738</v>
      </c>
      <c r="D54" s="244" t="s">
        <v>1669</v>
      </c>
      <c r="E54" s="244" t="s">
        <v>1670</v>
      </c>
      <c r="F54" s="244">
        <v>16</v>
      </c>
      <c r="G54" s="244">
        <v>27</v>
      </c>
      <c r="H54" s="244">
        <v>32</v>
      </c>
      <c r="I54" s="243" t="s">
        <v>1671</v>
      </c>
      <c r="J54" s="247">
        <v>10</v>
      </c>
      <c r="K54" s="227"/>
      <c r="L54" s="252"/>
      <c r="M54" s="252"/>
      <c r="N54" s="258">
        <v>669</v>
      </c>
      <c r="O54" s="259">
        <v>6690</v>
      </c>
    </row>
    <row r="55" spans="1:15" ht="36" x14ac:dyDescent="0.2">
      <c r="A55" s="261"/>
      <c r="B55" s="243" t="s">
        <v>1346</v>
      </c>
      <c r="C55" s="243" t="s">
        <v>1736</v>
      </c>
      <c r="D55" s="244" t="s">
        <v>1344</v>
      </c>
      <c r="E55" s="244" t="s">
        <v>1833</v>
      </c>
      <c r="F55" s="244">
        <v>1</v>
      </c>
      <c r="G55" s="244"/>
      <c r="H55" s="244">
        <v>8</v>
      </c>
      <c r="I55" s="243" t="s">
        <v>1348</v>
      </c>
      <c r="J55" s="247">
        <v>25</v>
      </c>
      <c r="K55" s="227"/>
      <c r="L55" s="252"/>
      <c r="M55" s="252"/>
      <c r="N55" s="258">
        <v>337</v>
      </c>
      <c r="O55" s="259">
        <v>8425</v>
      </c>
    </row>
    <row r="56" spans="1:15" ht="36" x14ac:dyDescent="0.2">
      <c r="A56" s="261"/>
      <c r="B56" s="243" t="s">
        <v>1346</v>
      </c>
      <c r="C56" s="243" t="s">
        <v>1736</v>
      </c>
      <c r="D56" s="244" t="s">
        <v>1344</v>
      </c>
      <c r="E56" s="244" t="s">
        <v>1833</v>
      </c>
      <c r="F56" s="244">
        <v>1</v>
      </c>
      <c r="G56" s="244"/>
      <c r="H56" s="244">
        <v>8</v>
      </c>
      <c r="I56" s="243" t="s">
        <v>1347</v>
      </c>
      <c r="J56" s="247">
        <v>22</v>
      </c>
      <c r="K56" s="227"/>
      <c r="L56" s="252"/>
      <c r="M56" s="252"/>
      <c r="N56" s="258">
        <v>348</v>
      </c>
      <c r="O56" s="259">
        <v>7656</v>
      </c>
    </row>
    <row r="57" spans="1:15" ht="36" x14ac:dyDescent="0.2">
      <c r="A57" s="261"/>
      <c r="B57" s="243" t="s">
        <v>1334</v>
      </c>
      <c r="C57" s="243" t="s">
        <v>1736</v>
      </c>
      <c r="D57" s="244" t="s">
        <v>1332</v>
      </c>
      <c r="E57" s="244" t="s">
        <v>1336</v>
      </c>
      <c r="F57" s="244">
        <v>1</v>
      </c>
      <c r="G57" s="244"/>
      <c r="H57" s="244">
        <v>8</v>
      </c>
      <c r="I57" s="243" t="s">
        <v>1337</v>
      </c>
      <c r="J57" s="244">
        <v>12</v>
      </c>
      <c r="K57" s="227"/>
      <c r="L57" s="252"/>
      <c r="M57" s="252"/>
      <c r="N57" s="258">
        <v>343</v>
      </c>
      <c r="O57" s="259">
        <v>4116</v>
      </c>
    </row>
    <row r="58" spans="1:15" ht="36" x14ac:dyDescent="0.2">
      <c r="A58" s="261"/>
      <c r="B58" s="243" t="s">
        <v>1834</v>
      </c>
      <c r="C58" s="243" t="s">
        <v>1736</v>
      </c>
      <c r="D58" s="244" t="s">
        <v>1332</v>
      </c>
      <c r="E58" s="244" t="s">
        <v>1835</v>
      </c>
      <c r="F58" s="244">
        <v>1</v>
      </c>
      <c r="G58" s="244"/>
      <c r="H58" s="244">
        <v>8</v>
      </c>
      <c r="I58" s="243" t="s">
        <v>1335</v>
      </c>
      <c r="J58" s="244">
        <v>6</v>
      </c>
      <c r="K58" s="227"/>
      <c r="L58" s="252"/>
      <c r="M58" s="252"/>
      <c r="N58" s="258">
        <v>290</v>
      </c>
      <c r="O58" s="259">
        <v>1740</v>
      </c>
    </row>
    <row r="59" spans="1:15" ht="36" x14ac:dyDescent="0.2">
      <c r="A59" s="261"/>
      <c r="B59" s="243" t="s">
        <v>1836</v>
      </c>
      <c r="C59" s="243" t="s">
        <v>1837</v>
      </c>
      <c r="D59" s="244" t="s">
        <v>1838</v>
      </c>
      <c r="E59" s="262" t="s">
        <v>1839</v>
      </c>
      <c r="F59" s="244"/>
      <c r="G59" s="244"/>
      <c r="H59" s="244"/>
      <c r="I59" s="243" t="s">
        <v>1840</v>
      </c>
      <c r="J59" s="227">
        <v>20</v>
      </c>
      <c r="K59" s="227"/>
      <c r="L59" s="252"/>
      <c r="M59" s="252"/>
      <c r="N59" s="258"/>
      <c r="O59" s="259"/>
    </row>
    <row r="60" spans="1:15" ht="24" x14ac:dyDescent="0.2">
      <c r="A60" s="261"/>
      <c r="B60" s="243" t="s">
        <v>1341</v>
      </c>
      <c r="C60" s="243" t="s">
        <v>1736</v>
      </c>
      <c r="D60" s="244" t="s">
        <v>1339</v>
      </c>
      <c r="E60" s="244" t="s">
        <v>1737</v>
      </c>
      <c r="F60" s="244">
        <v>1</v>
      </c>
      <c r="G60" s="244"/>
      <c r="H60" s="244">
        <v>8</v>
      </c>
      <c r="I60" s="243" t="s">
        <v>1342</v>
      </c>
      <c r="J60" s="244">
        <v>4</v>
      </c>
      <c r="K60" s="227"/>
      <c r="L60" s="252"/>
      <c r="M60" s="252"/>
      <c r="N60" s="264">
        <v>6120</v>
      </c>
      <c r="O60" s="263">
        <v>24480</v>
      </c>
    </row>
    <row r="61" spans="1:15" ht="36" x14ac:dyDescent="0.2">
      <c r="A61" s="261"/>
      <c r="B61" s="243" t="s">
        <v>1319</v>
      </c>
      <c r="C61" s="243" t="s">
        <v>1841</v>
      </c>
      <c r="D61" s="244" t="s">
        <v>1317</v>
      </c>
      <c r="E61" s="244" t="s">
        <v>1318</v>
      </c>
      <c r="F61" s="244">
        <v>1</v>
      </c>
      <c r="G61" s="244"/>
      <c r="H61" s="244" t="s">
        <v>1702</v>
      </c>
      <c r="I61" s="243" t="s">
        <v>1320</v>
      </c>
      <c r="J61" s="247">
        <v>3</v>
      </c>
      <c r="K61" s="227"/>
      <c r="L61" s="252"/>
      <c r="M61" s="252"/>
      <c r="N61" s="258">
        <v>3725</v>
      </c>
      <c r="O61" s="263">
        <v>11175</v>
      </c>
    </row>
    <row r="62" spans="1:15" ht="48" x14ac:dyDescent="0.2">
      <c r="A62" s="261"/>
      <c r="B62" s="243" t="s">
        <v>1842</v>
      </c>
      <c r="C62" s="243" t="s">
        <v>1843</v>
      </c>
      <c r="D62" s="244" t="s">
        <v>1350</v>
      </c>
      <c r="E62" s="244" t="s">
        <v>1351</v>
      </c>
      <c r="F62" s="244">
        <v>1</v>
      </c>
      <c r="G62" s="244"/>
      <c r="H62" s="244">
        <v>7</v>
      </c>
      <c r="I62" s="243" t="s">
        <v>1353</v>
      </c>
      <c r="J62" s="244">
        <v>1</v>
      </c>
      <c r="K62" s="227"/>
      <c r="L62" s="252"/>
      <c r="M62" s="252"/>
      <c r="N62" s="258">
        <v>623</v>
      </c>
      <c r="O62" s="259">
        <v>623</v>
      </c>
    </row>
    <row r="63" spans="1:15" ht="48" x14ac:dyDescent="0.2">
      <c r="A63" s="261"/>
      <c r="B63" s="243" t="s">
        <v>1844</v>
      </c>
      <c r="C63" s="243" t="s">
        <v>1845</v>
      </c>
      <c r="D63" s="244" t="s">
        <v>1611</v>
      </c>
      <c r="E63" s="244" t="s">
        <v>1612</v>
      </c>
      <c r="F63" s="244">
        <v>16</v>
      </c>
      <c r="G63" s="244"/>
      <c r="H63" s="244">
        <v>32</v>
      </c>
      <c r="I63" s="243" t="s">
        <v>1613</v>
      </c>
      <c r="J63" s="244">
        <v>4</v>
      </c>
      <c r="K63" s="227"/>
      <c r="L63" s="252"/>
      <c r="M63" s="252"/>
      <c r="N63" s="258">
        <v>759</v>
      </c>
      <c r="O63" s="259">
        <v>3036</v>
      </c>
    </row>
    <row r="64" spans="1:15" ht="36" x14ac:dyDescent="0.2">
      <c r="A64" s="261"/>
      <c r="B64" s="243" t="s">
        <v>1846</v>
      </c>
      <c r="C64" s="243" t="s">
        <v>1738</v>
      </c>
      <c r="D64" s="244" t="s">
        <v>1639</v>
      </c>
      <c r="E64" s="244" t="s">
        <v>1847</v>
      </c>
      <c r="F64" s="244">
        <v>14</v>
      </c>
      <c r="G64" s="244">
        <v>23</v>
      </c>
      <c r="H64" s="244">
        <v>29</v>
      </c>
      <c r="I64" s="243" t="s">
        <v>1641</v>
      </c>
      <c r="J64" s="244">
        <v>31</v>
      </c>
      <c r="K64" s="227"/>
      <c r="L64" s="252"/>
      <c r="M64" s="252"/>
      <c r="N64" s="258">
        <v>282</v>
      </c>
      <c r="O64" s="259">
        <v>8742</v>
      </c>
    </row>
    <row r="65" spans="1:15" ht="36" x14ac:dyDescent="0.2">
      <c r="A65" s="261"/>
      <c r="B65" s="243" t="s">
        <v>1846</v>
      </c>
      <c r="C65" s="243" t="s">
        <v>1738</v>
      </c>
      <c r="D65" s="244" t="s">
        <v>1639</v>
      </c>
      <c r="E65" s="244" t="s">
        <v>1643</v>
      </c>
      <c r="F65" s="266" t="s">
        <v>1848</v>
      </c>
      <c r="G65" s="244" t="s">
        <v>1849</v>
      </c>
      <c r="H65" s="244" t="s">
        <v>1850</v>
      </c>
      <c r="I65" s="243" t="s">
        <v>1644</v>
      </c>
      <c r="J65" s="244">
        <v>143</v>
      </c>
      <c r="K65" s="227"/>
      <c r="L65" s="252"/>
      <c r="M65" s="252"/>
      <c r="N65" s="258">
        <v>282</v>
      </c>
      <c r="O65" s="263">
        <v>40326</v>
      </c>
    </row>
    <row r="66" spans="1:15" ht="36" x14ac:dyDescent="0.2">
      <c r="A66" s="261"/>
      <c r="B66" s="243" t="s">
        <v>1846</v>
      </c>
      <c r="C66" s="243" t="s">
        <v>1738</v>
      </c>
      <c r="D66" s="244" t="s">
        <v>1639</v>
      </c>
      <c r="E66" s="244" t="s">
        <v>1645</v>
      </c>
      <c r="F66" s="244">
        <v>15</v>
      </c>
      <c r="G66" s="244"/>
      <c r="H66" s="244">
        <v>29</v>
      </c>
      <c r="I66" s="243" t="s">
        <v>1646</v>
      </c>
      <c r="J66" s="244">
        <v>46</v>
      </c>
      <c r="K66" s="227"/>
      <c r="L66" s="252"/>
      <c r="M66" s="252"/>
      <c r="N66" s="258">
        <v>364</v>
      </c>
      <c r="O66" s="263">
        <v>16744</v>
      </c>
    </row>
    <row r="67" spans="1:15" ht="36" x14ac:dyDescent="0.2">
      <c r="A67" s="261"/>
      <c r="B67" s="243" t="s">
        <v>1851</v>
      </c>
      <c r="C67" s="243" t="s">
        <v>1852</v>
      </c>
      <c r="D67" s="244" t="s">
        <v>1404</v>
      </c>
      <c r="E67" s="244" t="s">
        <v>1853</v>
      </c>
      <c r="F67" s="244">
        <v>17</v>
      </c>
      <c r="G67" s="244"/>
      <c r="H67" s="244">
        <v>4</v>
      </c>
      <c r="I67" s="243" t="s">
        <v>1408</v>
      </c>
      <c r="J67" s="244">
        <v>15</v>
      </c>
      <c r="K67" s="227"/>
      <c r="L67" s="252"/>
      <c r="M67" s="252"/>
      <c r="N67" s="258">
        <v>103</v>
      </c>
      <c r="O67" s="259">
        <v>1545</v>
      </c>
    </row>
    <row r="68" spans="1:15" ht="36" x14ac:dyDescent="0.2">
      <c r="A68" s="261"/>
      <c r="B68" s="243" t="s">
        <v>1854</v>
      </c>
      <c r="C68" s="243" t="s">
        <v>1855</v>
      </c>
      <c r="D68" s="244" t="s">
        <v>1856</v>
      </c>
      <c r="E68" s="262" t="s">
        <v>1857</v>
      </c>
      <c r="F68" s="244" t="s">
        <v>1858</v>
      </c>
      <c r="G68" s="244"/>
      <c r="H68" s="244">
        <v>39</v>
      </c>
      <c r="I68" s="243" t="s">
        <v>1535</v>
      </c>
      <c r="J68" s="244">
        <v>26</v>
      </c>
      <c r="K68" s="227"/>
      <c r="L68" s="252"/>
      <c r="M68" s="252"/>
      <c r="N68" s="264">
        <v>120869</v>
      </c>
      <c r="O68" s="263">
        <v>3142594</v>
      </c>
    </row>
    <row r="69" spans="1:15" ht="60" x14ac:dyDescent="0.2">
      <c r="A69" s="261"/>
      <c r="B69" s="243" t="s">
        <v>1859</v>
      </c>
      <c r="C69" s="243" t="s">
        <v>1860</v>
      </c>
      <c r="D69" s="244" t="s">
        <v>1861</v>
      </c>
      <c r="E69" s="262" t="s">
        <v>1862</v>
      </c>
      <c r="F69" s="244"/>
      <c r="G69" s="244"/>
      <c r="H69" s="244"/>
      <c r="I69" s="243" t="s">
        <v>1863</v>
      </c>
      <c r="J69" s="247">
        <v>10</v>
      </c>
      <c r="K69" s="227"/>
      <c r="L69" s="252"/>
      <c r="M69" s="252"/>
      <c r="N69" s="258">
        <v>2450</v>
      </c>
      <c r="O69" s="263">
        <v>24500</v>
      </c>
    </row>
    <row r="70" spans="1:15" ht="36" x14ac:dyDescent="0.2">
      <c r="A70" s="261"/>
      <c r="B70" s="243" t="s">
        <v>1864</v>
      </c>
      <c r="C70" s="243" t="s">
        <v>1865</v>
      </c>
      <c r="D70" s="244" t="s">
        <v>1461</v>
      </c>
      <c r="E70" s="244" t="s">
        <v>1462</v>
      </c>
      <c r="F70" s="244">
        <v>5</v>
      </c>
      <c r="G70" s="244" t="s">
        <v>1702</v>
      </c>
      <c r="H70" s="244">
        <v>17</v>
      </c>
      <c r="I70" s="243" t="s">
        <v>1866</v>
      </c>
      <c r="J70" s="244">
        <v>8</v>
      </c>
      <c r="K70" s="227"/>
      <c r="L70" s="252"/>
      <c r="M70" s="252"/>
      <c r="N70" s="258">
        <v>3500</v>
      </c>
      <c r="O70" s="263">
        <v>28000</v>
      </c>
    </row>
    <row r="71" spans="1:15" ht="36" x14ac:dyDescent="0.2">
      <c r="A71" s="261"/>
      <c r="B71" s="243" t="s">
        <v>1867</v>
      </c>
      <c r="C71" s="243" t="s">
        <v>1868</v>
      </c>
      <c r="D71" s="244" t="s">
        <v>1487</v>
      </c>
      <c r="E71" s="262" t="s">
        <v>1488</v>
      </c>
      <c r="F71" s="244">
        <v>2</v>
      </c>
      <c r="G71" s="244"/>
      <c r="H71" s="244">
        <v>13</v>
      </c>
      <c r="I71" s="243" t="s">
        <v>1490</v>
      </c>
      <c r="J71" s="244">
        <v>1</v>
      </c>
      <c r="K71" s="227"/>
      <c r="L71" s="252"/>
      <c r="M71" s="252"/>
      <c r="N71" s="258">
        <v>137</v>
      </c>
      <c r="O71" s="259">
        <v>137</v>
      </c>
    </row>
    <row r="72" spans="1:15" ht="36" x14ac:dyDescent="0.2">
      <c r="A72" s="261"/>
      <c r="B72" s="243" t="s">
        <v>1869</v>
      </c>
      <c r="C72" s="243" t="s">
        <v>1870</v>
      </c>
      <c r="D72" s="244" t="s">
        <v>1394</v>
      </c>
      <c r="E72" s="244" t="s">
        <v>1395</v>
      </c>
      <c r="F72" s="244">
        <v>2</v>
      </c>
      <c r="G72" s="244"/>
      <c r="H72" s="244" t="s">
        <v>1871</v>
      </c>
      <c r="I72" s="243" t="s">
        <v>1397</v>
      </c>
      <c r="J72" s="244">
        <v>4</v>
      </c>
      <c r="K72" s="227"/>
      <c r="L72" s="252"/>
      <c r="M72" s="252"/>
      <c r="N72" s="258">
        <v>701</v>
      </c>
      <c r="O72" s="259">
        <v>2804</v>
      </c>
    </row>
    <row r="73" spans="1:15" ht="36" x14ac:dyDescent="0.2">
      <c r="A73" s="261"/>
      <c r="B73" s="243" t="s">
        <v>1872</v>
      </c>
      <c r="C73" s="243" t="s">
        <v>1873</v>
      </c>
      <c r="D73" s="244" t="s">
        <v>1474</v>
      </c>
      <c r="E73" s="244" t="s">
        <v>1475</v>
      </c>
      <c r="F73" s="244">
        <v>16</v>
      </c>
      <c r="G73" s="244">
        <v>26</v>
      </c>
      <c r="H73" s="244">
        <v>31</v>
      </c>
      <c r="I73" s="243" t="s">
        <v>1476</v>
      </c>
      <c r="J73" s="244">
        <v>2</v>
      </c>
      <c r="K73" s="227"/>
      <c r="L73" s="252"/>
      <c r="M73" s="252"/>
      <c r="N73" s="264">
        <v>17591</v>
      </c>
      <c r="O73" s="263">
        <v>35182</v>
      </c>
    </row>
    <row r="74" spans="1:15" ht="36" x14ac:dyDescent="0.2">
      <c r="A74" s="261"/>
      <c r="B74" s="243" t="s">
        <v>1874</v>
      </c>
      <c r="C74" s="243" t="s">
        <v>1873</v>
      </c>
      <c r="D74" s="244" t="s">
        <v>1410</v>
      </c>
      <c r="E74" s="244" t="s">
        <v>1875</v>
      </c>
      <c r="F74" s="244">
        <v>16</v>
      </c>
      <c r="G74" s="244">
        <v>26</v>
      </c>
      <c r="H74" s="244">
        <v>31</v>
      </c>
      <c r="I74" s="243" t="s">
        <v>1412</v>
      </c>
      <c r="J74" s="244">
        <v>12</v>
      </c>
      <c r="K74" s="227"/>
      <c r="L74" s="252"/>
      <c r="M74" s="252"/>
      <c r="N74" s="264">
        <v>19306</v>
      </c>
      <c r="O74" s="263">
        <v>231672</v>
      </c>
    </row>
    <row r="75" spans="1:15" ht="24" x14ac:dyDescent="0.2">
      <c r="A75" s="261"/>
      <c r="B75" s="243" t="s">
        <v>1876</v>
      </c>
      <c r="C75" s="243" t="s">
        <v>1873</v>
      </c>
      <c r="D75" s="244" t="s">
        <v>1474</v>
      </c>
      <c r="E75" s="262" t="s">
        <v>1479</v>
      </c>
      <c r="F75" s="244">
        <v>16</v>
      </c>
      <c r="G75" s="244" t="s">
        <v>1877</v>
      </c>
      <c r="H75" s="244">
        <v>31</v>
      </c>
      <c r="I75" s="243" t="s">
        <v>1480</v>
      </c>
      <c r="J75" s="244">
        <v>10</v>
      </c>
      <c r="K75" s="227"/>
      <c r="L75" s="252"/>
      <c r="M75" s="252"/>
      <c r="N75" s="264">
        <v>12512</v>
      </c>
      <c r="O75" s="263">
        <v>125120</v>
      </c>
    </row>
    <row r="76" spans="1:15" ht="36" x14ac:dyDescent="0.2">
      <c r="A76" s="261"/>
      <c r="B76" s="243" t="s">
        <v>1878</v>
      </c>
      <c r="C76" s="243" t="s">
        <v>1873</v>
      </c>
      <c r="D76" s="244" t="s">
        <v>1410</v>
      </c>
      <c r="E76" s="244" t="s">
        <v>1879</v>
      </c>
      <c r="F76" s="244">
        <v>16</v>
      </c>
      <c r="G76" s="244">
        <v>26</v>
      </c>
      <c r="H76" s="244">
        <v>31</v>
      </c>
      <c r="I76" s="243" t="s">
        <v>1415</v>
      </c>
      <c r="J76" s="244">
        <v>4</v>
      </c>
      <c r="K76" s="227"/>
      <c r="L76" s="252"/>
      <c r="M76" s="252"/>
      <c r="N76" s="264">
        <v>10508</v>
      </c>
      <c r="O76" s="263">
        <v>42032</v>
      </c>
    </row>
    <row r="77" spans="1:15" ht="36" x14ac:dyDescent="0.2">
      <c r="A77" s="261"/>
      <c r="B77" s="243" t="s">
        <v>1880</v>
      </c>
      <c r="C77" s="243" t="s">
        <v>1873</v>
      </c>
      <c r="D77" s="244" t="s">
        <v>1478</v>
      </c>
      <c r="E77" s="244" t="s">
        <v>1881</v>
      </c>
      <c r="F77" s="244">
        <v>15</v>
      </c>
      <c r="G77" s="244">
        <v>25</v>
      </c>
      <c r="H77" s="244">
        <v>30</v>
      </c>
      <c r="I77" s="243" t="s">
        <v>1654</v>
      </c>
      <c r="J77" s="244">
        <v>18</v>
      </c>
      <c r="K77" s="227"/>
      <c r="L77" s="252"/>
      <c r="M77" s="252"/>
      <c r="N77" s="258">
        <v>8000</v>
      </c>
      <c r="O77" s="263">
        <v>144000</v>
      </c>
    </row>
    <row r="78" spans="1:15" ht="36" x14ac:dyDescent="0.2">
      <c r="A78" s="261"/>
      <c r="B78" s="243" t="s">
        <v>1882</v>
      </c>
      <c r="C78" s="243" t="s">
        <v>1873</v>
      </c>
      <c r="D78" s="244" t="s">
        <v>1410</v>
      </c>
      <c r="E78" s="244" t="s">
        <v>1417</v>
      </c>
      <c r="F78" s="244">
        <v>16</v>
      </c>
      <c r="G78" s="244">
        <v>26</v>
      </c>
      <c r="H78" s="244">
        <v>31</v>
      </c>
      <c r="I78" s="243" t="s">
        <v>1418</v>
      </c>
      <c r="J78" s="244">
        <v>3</v>
      </c>
      <c r="K78" s="227"/>
      <c r="L78" s="252"/>
      <c r="M78" s="252"/>
      <c r="N78" s="264">
        <v>11999</v>
      </c>
      <c r="O78" s="263">
        <v>35997</v>
      </c>
    </row>
    <row r="79" spans="1:15" ht="45" x14ac:dyDescent="0.2">
      <c r="A79" s="261"/>
      <c r="B79" s="243" t="s">
        <v>21</v>
      </c>
      <c r="C79" s="267" t="s">
        <v>1883</v>
      </c>
      <c r="D79" s="244" t="s">
        <v>1755</v>
      </c>
      <c r="E79" s="262" t="s">
        <v>1437</v>
      </c>
      <c r="F79" s="244">
        <v>5</v>
      </c>
      <c r="G79" s="244"/>
      <c r="H79" s="244" t="s">
        <v>1884</v>
      </c>
      <c r="I79" s="243" t="s">
        <v>1438</v>
      </c>
      <c r="J79" s="244">
        <v>32</v>
      </c>
      <c r="K79" s="227"/>
      <c r="L79" s="252"/>
      <c r="M79" s="252"/>
      <c r="N79" s="258">
        <v>878</v>
      </c>
      <c r="O79" s="263">
        <v>28096</v>
      </c>
    </row>
    <row r="80" spans="1:15" ht="48" x14ac:dyDescent="0.2">
      <c r="A80" s="261"/>
      <c r="B80" s="243" t="s">
        <v>1885</v>
      </c>
      <c r="C80" s="243" t="s">
        <v>1886</v>
      </c>
      <c r="D80" s="244" t="s">
        <v>1755</v>
      </c>
      <c r="E80" s="244" t="s">
        <v>1440</v>
      </c>
      <c r="F80" s="244" t="s">
        <v>1802</v>
      </c>
      <c r="G80" s="244" t="s">
        <v>1858</v>
      </c>
      <c r="H80" s="244">
        <v>16</v>
      </c>
      <c r="I80" s="243" t="s">
        <v>1441</v>
      </c>
      <c r="J80" s="247">
        <v>94</v>
      </c>
      <c r="K80" s="227"/>
      <c r="L80" s="252"/>
      <c r="M80" s="252"/>
      <c r="N80" s="258">
        <v>884</v>
      </c>
      <c r="O80" s="263">
        <v>83096</v>
      </c>
    </row>
    <row r="81" spans="1:15" ht="36" x14ac:dyDescent="0.2">
      <c r="A81" s="261"/>
      <c r="B81" s="243" t="s">
        <v>1314</v>
      </c>
      <c r="C81" s="243" t="s">
        <v>1814</v>
      </c>
      <c r="D81" s="244" t="s">
        <v>1887</v>
      </c>
      <c r="E81" s="262" t="s">
        <v>1313</v>
      </c>
      <c r="F81" s="244">
        <v>2</v>
      </c>
      <c r="G81" s="244">
        <v>2</v>
      </c>
      <c r="H81" s="244">
        <v>9</v>
      </c>
      <c r="I81" s="243" t="s">
        <v>1315</v>
      </c>
      <c r="J81" s="247">
        <v>15</v>
      </c>
      <c r="K81" s="227"/>
      <c r="L81" s="252"/>
      <c r="M81" s="252"/>
      <c r="N81" s="258">
        <v>8114</v>
      </c>
      <c r="O81" s="263">
        <v>121710</v>
      </c>
    </row>
    <row r="82" spans="1:15" ht="72" x14ac:dyDescent="0.2">
      <c r="A82" s="261"/>
      <c r="B82" s="243" t="s">
        <v>1768</v>
      </c>
      <c r="C82" s="243" t="s">
        <v>1769</v>
      </c>
      <c r="D82" s="244" t="s">
        <v>1619</v>
      </c>
      <c r="E82" s="244" t="s">
        <v>1770</v>
      </c>
      <c r="F82" s="244"/>
      <c r="G82" s="244"/>
      <c r="H82" s="244"/>
      <c r="I82" s="243" t="s">
        <v>1621</v>
      </c>
      <c r="J82" s="244">
        <v>22</v>
      </c>
      <c r="K82" s="227"/>
      <c r="L82" s="252"/>
      <c r="M82" s="252"/>
      <c r="N82" s="258">
        <v>1140</v>
      </c>
      <c r="O82" s="263">
        <v>25080</v>
      </c>
    </row>
    <row r="83" spans="1:15" ht="48" x14ac:dyDescent="0.2">
      <c r="A83" s="261"/>
      <c r="B83" s="243" t="s">
        <v>1888</v>
      </c>
      <c r="C83" s="243" t="s">
        <v>1889</v>
      </c>
      <c r="D83" s="244" t="s">
        <v>1543</v>
      </c>
      <c r="E83" s="244" t="s">
        <v>1544</v>
      </c>
      <c r="F83" s="244">
        <v>9</v>
      </c>
      <c r="G83" s="244">
        <v>12</v>
      </c>
      <c r="H83" s="244">
        <v>39</v>
      </c>
      <c r="I83" s="243" t="s">
        <v>1545</v>
      </c>
      <c r="J83" s="244">
        <v>5</v>
      </c>
      <c r="K83" s="227"/>
      <c r="L83" s="252"/>
      <c r="M83" s="252"/>
      <c r="N83" s="264">
        <v>18500</v>
      </c>
      <c r="O83" s="263">
        <v>92500</v>
      </c>
    </row>
    <row r="84" spans="1:15" ht="60" x14ac:dyDescent="0.2">
      <c r="A84" s="261"/>
      <c r="B84" s="243" t="s">
        <v>1890</v>
      </c>
      <c r="C84" s="243" t="s">
        <v>1891</v>
      </c>
      <c r="D84" s="244" t="s">
        <v>1892</v>
      </c>
      <c r="E84" s="244" t="s">
        <v>1893</v>
      </c>
      <c r="F84" s="244">
        <v>2</v>
      </c>
      <c r="G84" s="244" t="s">
        <v>1894</v>
      </c>
      <c r="H84" s="244">
        <v>11</v>
      </c>
      <c r="I84" s="243" t="s">
        <v>1895</v>
      </c>
      <c r="J84" s="244">
        <v>1</v>
      </c>
      <c r="K84" s="227"/>
      <c r="L84" s="252"/>
      <c r="M84" s="252"/>
      <c r="N84" s="264">
        <v>19300</v>
      </c>
      <c r="O84" s="263">
        <v>19300</v>
      </c>
    </row>
    <row r="85" spans="1:15" ht="48" x14ac:dyDescent="0.2">
      <c r="A85" s="261"/>
      <c r="B85" s="243" t="s">
        <v>1896</v>
      </c>
      <c r="C85" s="243" t="s">
        <v>1897</v>
      </c>
      <c r="D85" s="244" t="s">
        <v>1635</v>
      </c>
      <c r="E85" s="262" t="s">
        <v>1628</v>
      </c>
      <c r="F85" s="244">
        <v>16</v>
      </c>
      <c r="G85" s="244">
        <v>25</v>
      </c>
      <c r="H85" s="244">
        <v>30</v>
      </c>
      <c r="I85" s="243" t="s">
        <v>1636</v>
      </c>
      <c r="J85" s="247">
        <v>8</v>
      </c>
      <c r="K85" s="227"/>
      <c r="L85" s="252"/>
      <c r="M85" s="252"/>
      <c r="N85" s="258">
        <v>9546</v>
      </c>
      <c r="O85" s="263">
        <v>76368</v>
      </c>
    </row>
    <row r="86" spans="1:15" ht="48" x14ac:dyDescent="0.2">
      <c r="A86" s="261"/>
      <c r="B86" s="243" t="s">
        <v>23</v>
      </c>
      <c r="C86" s="243" t="s">
        <v>1898</v>
      </c>
      <c r="D86" s="244" t="s">
        <v>1547</v>
      </c>
      <c r="E86" s="262" t="s">
        <v>1493</v>
      </c>
      <c r="F86" s="244" t="s">
        <v>1899</v>
      </c>
      <c r="G86" s="244" t="s">
        <v>1871</v>
      </c>
      <c r="H86" s="244">
        <v>21</v>
      </c>
      <c r="I86" s="243" t="s">
        <v>1494</v>
      </c>
      <c r="J86" s="244">
        <v>92</v>
      </c>
      <c r="K86" s="227"/>
      <c r="L86" s="252"/>
      <c r="M86" s="252"/>
      <c r="N86" s="258">
        <v>3607</v>
      </c>
      <c r="O86" s="263">
        <v>331844</v>
      </c>
    </row>
    <row r="87" spans="1:15" ht="48" x14ac:dyDescent="0.2">
      <c r="A87" s="261"/>
      <c r="B87" s="243" t="s">
        <v>23</v>
      </c>
      <c r="C87" s="243" t="s">
        <v>1898</v>
      </c>
      <c r="D87" s="244" t="s">
        <v>1492</v>
      </c>
      <c r="E87" s="244" t="s">
        <v>1493</v>
      </c>
      <c r="F87" s="244">
        <v>7</v>
      </c>
      <c r="G87" s="244" t="s">
        <v>1899</v>
      </c>
      <c r="H87" s="244" t="s">
        <v>1900</v>
      </c>
      <c r="I87" s="243" t="s">
        <v>1494</v>
      </c>
      <c r="J87" s="244">
        <v>42</v>
      </c>
      <c r="K87" s="227"/>
      <c r="L87" s="252"/>
      <c r="M87" s="252"/>
      <c r="N87" s="258">
        <v>3607</v>
      </c>
      <c r="O87" s="263">
        <v>151494</v>
      </c>
    </row>
    <row r="88" spans="1:15" ht="60" x14ac:dyDescent="0.2">
      <c r="A88" s="261"/>
      <c r="B88" s="243" t="s">
        <v>1901</v>
      </c>
      <c r="C88" s="243" t="s">
        <v>1902</v>
      </c>
      <c r="D88" s="244" t="s">
        <v>1623</v>
      </c>
      <c r="E88" s="243" t="s">
        <v>1903</v>
      </c>
      <c r="F88" s="243" t="s">
        <v>1086</v>
      </c>
      <c r="G88" s="243" t="s">
        <v>1102</v>
      </c>
      <c r="H88" s="243" t="s">
        <v>1116</v>
      </c>
      <c r="I88" s="243" t="s">
        <v>1626</v>
      </c>
      <c r="J88" s="244">
        <v>3</v>
      </c>
      <c r="K88" s="227"/>
      <c r="L88" s="252"/>
      <c r="M88" s="252"/>
      <c r="N88" s="258">
        <v>7939</v>
      </c>
      <c r="O88" s="263">
        <v>23817</v>
      </c>
    </row>
    <row r="89" spans="1:15" ht="45" x14ac:dyDescent="0.2">
      <c r="A89" s="261"/>
      <c r="B89" s="243" t="s">
        <v>1904</v>
      </c>
      <c r="C89" s="267" t="s">
        <v>1905</v>
      </c>
      <c r="D89" s="244" t="s">
        <v>1623</v>
      </c>
      <c r="E89" s="244" t="s">
        <v>1906</v>
      </c>
      <c r="F89" s="244">
        <v>15</v>
      </c>
      <c r="G89" s="244"/>
      <c r="H89" s="244">
        <v>40</v>
      </c>
      <c r="I89" s="243" t="s">
        <v>1629</v>
      </c>
      <c r="J89" s="244">
        <v>3</v>
      </c>
      <c r="K89" s="227"/>
      <c r="L89" s="252"/>
      <c r="M89" s="252"/>
      <c r="N89" s="264">
        <v>10717</v>
      </c>
      <c r="O89" s="263">
        <v>32151</v>
      </c>
    </row>
    <row r="90" spans="1:15" ht="48" x14ac:dyDescent="0.2">
      <c r="A90" s="261"/>
      <c r="B90" s="243" t="s">
        <v>1907</v>
      </c>
      <c r="C90" s="243" t="s">
        <v>1897</v>
      </c>
      <c r="D90" s="244" t="s">
        <v>1478</v>
      </c>
      <c r="E90" s="244" t="s">
        <v>1651</v>
      </c>
      <c r="F90" s="244">
        <v>15</v>
      </c>
      <c r="G90" s="244">
        <v>4</v>
      </c>
      <c r="H90" s="244">
        <v>30</v>
      </c>
      <c r="I90" s="243" t="s">
        <v>1652</v>
      </c>
      <c r="J90" s="244">
        <v>3</v>
      </c>
      <c r="K90" s="227"/>
      <c r="L90" s="252"/>
      <c r="M90" s="252"/>
      <c r="N90" s="258">
        <v>5650</v>
      </c>
      <c r="O90" s="263">
        <v>16950</v>
      </c>
    </row>
    <row r="91" spans="1:15" ht="36" x14ac:dyDescent="0.2">
      <c r="A91" s="261"/>
      <c r="B91" s="243" t="s">
        <v>1908</v>
      </c>
      <c r="C91" s="243" t="s">
        <v>1855</v>
      </c>
      <c r="D91" s="244" t="s">
        <v>1482</v>
      </c>
      <c r="E91" s="262" t="s">
        <v>1483</v>
      </c>
      <c r="F91" s="244">
        <v>6</v>
      </c>
      <c r="G91" s="244"/>
      <c r="H91" s="244">
        <v>19</v>
      </c>
      <c r="I91" s="243" t="s">
        <v>1485</v>
      </c>
      <c r="J91" s="244">
        <v>11</v>
      </c>
      <c r="K91" s="227"/>
      <c r="L91" s="252"/>
      <c r="M91" s="252"/>
      <c r="N91" s="258">
        <v>9216</v>
      </c>
      <c r="O91" s="263">
        <v>101376</v>
      </c>
    </row>
    <row r="92" spans="1:15" ht="48" x14ac:dyDescent="0.2">
      <c r="A92" s="261"/>
      <c r="B92" s="243" t="s">
        <v>1549</v>
      </c>
      <c r="C92" s="243" t="s">
        <v>1909</v>
      </c>
      <c r="D92" s="244" t="s">
        <v>1547</v>
      </c>
      <c r="E92" s="244" t="s">
        <v>1548</v>
      </c>
      <c r="F92" s="244">
        <v>7</v>
      </c>
      <c r="G92" s="244">
        <v>9</v>
      </c>
      <c r="H92" s="244">
        <v>20</v>
      </c>
      <c r="I92" s="243" t="s">
        <v>1550</v>
      </c>
      <c r="J92" s="244">
        <v>6</v>
      </c>
      <c r="K92" s="227"/>
      <c r="L92" s="252"/>
      <c r="M92" s="252"/>
      <c r="N92" s="258">
        <v>3578</v>
      </c>
      <c r="O92" s="263">
        <v>21468</v>
      </c>
    </row>
    <row r="93" spans="1:15" ht="48" x14ac:dyDescent="0.2">
      <c r="A93" s="261"/>
      <c r="B93" s="243" t="s">
        <v>1910</v>
      </c>
      <c r="C93" s="243" t="s">
        <v>1909</v>
      </c>
      <c r="D93" s="244" t="s">
        <v>1547</v>
      </c>
      <c r="E93" s="244" t="s">
        <v>1552</v>
      </c>
      <c r="F93" s="244" t="s">
        <v>1911</v>
      </c>
      <c r="G93" s="244" t="s">
        <v>1912</v>
      </c>
      <c r="H93" s="244" t="s">
        <v>1913</v>
      </c>
      <c r="I93" s="243" t="s">
        <v>1553</v>
      </c>
      <c r="J93" s="244">
        <v>78</v>
      </c>
      <c r="K93" s="227"/>
      <c r="L93" s="252"/>
      <c r="M93" s="252"/>
      <c r="N93" s="258">
        <v>2748</v>
      </c>
      <c r="O93" s="263">
        <v>214344</v>
      </c>
    </row>
    <row r="94" spans="1:15" ht="24" x14ac:dyDescent="0.2">
      <c r="A94" s="261"/>
      <c r="B94" s="243" t="s">
        <v>1914</v>
      </c>
      <c r="C94" s="243" t="s">
        <v>1915</v>
      </c>
      <c r="D94" s="244" t="s">
        <v>1427</v>
      </c>
      <c r="E94" s="262" t="s">
        <v>1916</v>
      </c>
      <c r="F94" s="244" t="s">
        <v>1894</v>
      </c>
      <c r="G94" s="244">
        <v>4</v>
      </c>
      <c r="H94" s="244">
        <v>13</v>
      </c>
      <c r="I94" s="243" t="s">
        <v>1434</v>
      </c>
      <c r="J94" s="247">
        <v>2</v>
      </c>
      <c r="K94" s="227"/>
      <c r="L94" s="252"/>
      <c r="M94" s="252"/>
      <c r="N94" s="258">
        <v>6219</v>
      </c>
      <c r="O94" s="263">
        <v>12438</v>
      </c>
    </row>
    <row r="95" spans="1:15" ht="24" x14ac:dyDescent="0.2">
      <c r="A95" s="261"/>
      <c r="B95" s="243" t="s">
        <v>1917</v>
      </c>
      <c r="C95" s="243" t="s">
        <v>1918</v>
      </c>
      <c r="D95" s="244" t="s">
        <v>1656</v>
      </c>
      <c r="E95" s="244" t="s">
        <v>1657</v>
      </c>
      <c r="F95" s="244" t="s">
        <v>1919</v>
      </c>
      <c r="G95" s="244">
        <v>25</v>
      </c>
      <c r="H95" s="244">
        <v>30</v>
      </c>
      <c r="I95" s="243" t="s">
        <v>1658</v>
      </c>
      <c r="J95" s="244">
        <v>1</v>
      </c>
      <c r="K95" s="227"/>
      <c r="L95" s="252"/>
      <c r="M95" s="252"/>
      <c r="N95" s="264">
        <v>100000</v>
      </c>
      <c r="O95" s="263">
        <v>100000</v>
      </c>
    </row>
    <row r="96" spans="1:15" ht="36" x14ac:dyDescent="0.2">
      <c r="A96" s="261"/>
      <c r="B96" s="243" t="s">
        <v>1920</v>
      </c>
      <c r="C96" s="243" t="s">
        <v>1921</v>
      </c>
      <c r="D96" s="244" t="s">
        <v>1382</v>
      </c>
      <c r="E96" s="244" t="s">
        <v>1922</v>
      </c>
      <c r="F96" s="244"/>
      <c r="G96" s="244"/>
      <c r="H96" s="244"/>
      <c r="I96" s="243" t="s">
        <v>1923</v>
      </c>
      <c r="J96" s="244">
        <v>51</v>
      </c>
      <c r="K96" s="227"/>
      <c r="L96" s="252"/>
      <c r="M96" s="252"/>
      <c r="N96" s="258"/>
      <c r="O96" s="259"/>
    </row>
    <row r="97" spans="1:15" ht="60" x14ac:dyDescent="0.2">
      <c r="A97" s="261"/>
      <c r="B97" s="243" t="s">
        <v>1920</v>
      </c>
      <c r="C97" s="243" t="s">
        <v>1924</v>
      </c>
      <c r="D97" s="244" t="s">
        <v>1382</v>
      </c>
      <c r="E97" s="244" t="s">
        <v>1925</v>
      </c>
      <c r="F97" s="244"/>
      <c r="G97" s="244"/>
      <c r="H97" s="244"/>
      <c r="I97" s="243" t="s">
        <v>1384</v>
      </c>
      <c r="J97" s="244">
        <v>75</v>
      </c>
      <c r="K97" s="227"/>
      <c r="L97" s="252"/>
      <c r="M97" s="252"/>
      <c r="N97" s="258"/>
      <c r="O97" s="259"/>
    </row>
    <row r="98" spans="1:15" ht="48" x14ac:dyDescent="0.2">
      <c r="A98" s="261"/>
      <c r="B98" s="243" t="s">
        <v>1926</v>
      </c>
      <c r="C98" s="243" t="s">
        <v>1927</v>
      </c>
      <c r="D98" s="244" t="s">
        <v>1928</v>
      </c>
      <c r="E98" s="244" t="s">
        <v>1929</v>
      </c>
      <c r="F98" s="244"/>
      <c r="G98" s="244"/>
      <c r="H98" s="244"/>
      <c r="I98" s="243" t="s">
        <v>1930</v>
      </c>
      <c r="J98" s="244">
        <v>3</v>
      </c>
      <c r="K98" s="227"/>
      <c r="L98" s="252"/>
      <c r="M98" s="252"/>
      <c r="N98" s="258"/>
      <c r="O98" s="259"/>
    </row>
    <row r="99" spans="1:15" ht="48" x14ac:dyDescent="0.2">
      <c r="A99" s="261"/>
      <c r="B99" s="243" t="s">
        <v>1931</v>
      </c>
      <c r="C99" s="243" t="s">
        <v>1932</v>
      </c>
      <c r="D99" s="244" t="s">
        <v>1420</v>
      </c>
      <c r="E99" s="244" t="s">
        <v>1933</v>
      </c>
      <c r="F99" s="244">
        <v>5</v>
      </c>
      <c r="G99" s="244"/>
      <c r="H99" s="244">
        <v>39</v>
      </c>
      <c r="I99" s="243" t="s">
        <v>1425</v>
      </c>
      <c r="J99" s="244">
        <v>2</v>
      </c>
      <c r="K99" s="227"/>
      <c r="L99" s="252"/>
      <c r="M99" s="252"/>
      <c r="N99" s="264">
        <v>14248</v>
      </c>
      <c r="O99" s="263">
        <v>28496</v>
      </c>
    </row>
    <row r="100" spans="1:15" ht="48" x14ac:dyDescent="0.2">
      <c r="A100" s="261"/>
      <c r="B100" s="243" t="s">
        <v>1931</v>
      </c>
      <c r="C100" s="243" t="s">
        <v>1934</v>
      </c>
      <c r="D100" s="244" t="s">
        <v>1420</v>
      </c>
      <c r="E100" s="244" t="s">
        <v>1935</v>
      </c>
      <c r="F100" s="244">
        <v>5</v>
      </c>
      <c r="G100" s="244"/>
      <c r="H100" s="244">
        <v>17</v>
      </c>
      <c r="I100" s="243" t="s">
        <v>1422</v>
      </c>
      <c r="J100" s="247">
        <v>3</v>
      </c>
      <c r="K100" s="227"/>
      <c r="L100" s="252"/>
      <c r="M100" s="252"/>
      <c r="N100" s="264">
        <v>15971</v>
      </c>
      <c r="O100" s="263">
        <v>47913</v>
      </c>
    </row>
    <row r="101" spans="1:15" ht="96" x14ac:dyDescent="0.2">
      <c r="A101" s="261"/>
      <c r="B101" s="243" t="s">
        <v>1401</v>
      </c>
      <c r="C101" s="243" t="s">
        <v>1936</v>
      </c>
      <c r="D101" s="244" t="s">
        <v>1399</v>
      </c>
      <c r="E101" s="244" t="s">
        <v>1728</v>
      </c>
      <c r="F101" s="244">
        <v>3</v>
      </c>
      <c r="G101" s="244"/>
      <c r="H101" s="244">
        <v>14</v>
      </c>
      <c r="I101" s="243" t="s">
        <v>1402</v>
      </c>
      <c r="J101" s="244">
        <v>108</v>
      </c>
      <c r="K101" s="227"/>
      <c r="L101" s="252"/>
      <c r="M101" s="252"/>
      <c r="N101" s="258">
        <v>72</v>
      </c>
      <c r="O101" s="259">
        <v>7776</v>
      </c>
    </row>
    <row r="102" spans="1:15" ht="36" x14ac:dyDescent="0.2">
      <c r="A102" s="261"/>
      <c r="B102" s="243" t="s">
        <v>1401</v>
      </c>
      <c r="C102" s="243" t="s">
        <v>1936</v>
      </c>
      <c r="D102" s="244" t="s">
        <v>1457</v>
      </c>
      <c r="E102" s="262" t="s">
        <v>1729</v>
      </c>
      <c r="F102" s="244">
        <v>3</v>
      </c>
      <c r="G102" s="244"/>
      <c r="H102" s="244">
        <v>14</v>
      </c>
      <c r="I102" s="243" t="s">
        <v>1459</v>
      </c>
      <c r="J102" s="244">
        <v>59</v>
      </c>
      <c r="K102" s="227"/>
      <c r="L102" s="252"/>
      <c r="M102" s="252"/>
      <c r="N102" s="258">
        <v>258</v>
      </c>
      <c r="O102" s="263">
        <v>15222</v>
      </c>
    </row>
    <row r="103" spans="1:15" ht="24" x14ac:dyDescent="0.2">
      <c r="A103" s="261"/>
      <c r="B103" s="243" t="s">
        <v>1781</v>
      </c>
      <c r="C103" s="243" t="s">
        <v>1781</v>
      </c>
      <c r="D103" s="244" t="s">
        <v>1677</v>
      </c>
      <c r="E103" s="262" t="s">
        <v>1937</v>
      </c>
      <c r="F103" s="244">
        <v>7</v>
      </c>
      <c r="G103" s="244"/>
      <c r="H103" s="244">
        <v>1</v>
      </c>
      <c r="I103" s="243" t="s">
        <v>1679</v>
      </c>
      <c r="J103" s="244">
        <v>1</v>
      </c>
      <c r="K103" s="227"/>
      <c r="L103" s="252"/>
      <c r="M103" s="252"/>
      <c r="N103" s="258">
        <v>1943</v>
      </c>
      <c r="O103" s="259">
        <v>1943</v>
      </c>
    </row>
    <row r="104" spans="1:15" ht="36" x14ac:dyDescent="0.2">
      <c r="A104" s="261"/>
      <c r="B104" s="243" t="s">
        <v>1806</v>
      </c>
      <c r="C104" s="243" t="s">
        <v>1938</v>
      </c>
      <c r="D104" s="244" t="s">
        <v>1681</v>
      </c>
      <c r="E104" s="262" t="s">
        <v>1939</v>
      </c>
      <c r="F104" s="244">
        <v>4</v>
      </c>
      <c r="G104" s="244">
        <v>5</v>
      </c>
      <c r="H104" s="244">
        <v>16</v>
      </c>
      <c r="I104" s="243" t="s">
        <v>1683</v>
      </c>
      <c r="J104" s="244">
        <v>10</v>
      </c>
      <c r="K104" s="227"/>
      <c r="L104" s="252"/>
      <c r="M104" s="252"/>
      <c r="N104" s="258">
        <v>6880</v>
      </c>
      <c r="O104" s="263">
        <v>68800</v>
      </c>
    </row>
    <row r="105" spans="1:15" x14ac:dyDescent="0.2">
      <c r="N105" s="208"/>
      <c r="O105" s="208"/>
    </row>
    <row r="106" spans="1:15" ht="15" x14ac:dyDescent="0.2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9"/>
    </row>
    <row r="107" spans="1:15" ht="15" x14ac:dyDescent="0.2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69"/>
    </row>
    <row r="108" spans="1:15" ht="15" x14ac:dyDescent="0.2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2"/>
      <c r="L108" s="273"/>
      <c r="M108" s="273"/>
      <c r="N108" s="269"/>
    </row>
    <row r="109" spans="1:15" ht="15" x14ac:dyDescent="0.2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5"/>
      <c r="L109" s="276"/>
      <c r="M109" s="276"/>
      <c r="N109" s="269"/>
    </row>
    <row r="110" spans="1:15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1"/>
  <sheetViews>
    <sheetView workbookViewId="0"/>
  </sheetViews>
  <sheetFormatPr defaultRowHeight="12.75" x14ac:dyDescent="0.2"/>
  <sheetData>
    <row r="1" spans="1:1024" x14ac:dyDescent="0.2">
      <c r="A1" s="278" t="s">
        <v>1940</v>
      </c>
      <c r="J1" s="279" t="s">
        <v>1941</v>
      </c>
      <c r="K1" s="279"/>
      <c r="L1" s="280"/>
      <c r="M1" s="280"/>
      <c r="N1" s="281"/>
      <c r="O1" s="281"/>
      <c r="P1" s="281"/>
      <c r="Q1" s="281"/>
      <c r="R1" s="281"/>
      <c r="S1" s="279" t="s">
        <v>1942</v>
      </c>
      <c r="T1" s="279"/>
      <c r="U1" s="282" t="s">
        <v>1943</v>
      </c>
      <c r="V1" s="282"/>
      <c r="W1" s="282"/>
      <c r="X1" s="282"/>
      <c r="Y1" s="282"/>
      <c r="Z1" s="283" t="e">
        <f>#VALUE!</f>
        <v>#VALUE!</v>
      </c>
      <c r="AA1" s="283"/>
      <c r="AB1" s="284" t="s">
        <v>1693</v>
      </c>
      <c r="AC1" s="284"/>
      <c r="AD1" s="284"/>
      <c r="AE1" s="278" t="s">
        <v>1940</v>
      </c>
      <c r="AN1" s="279" t="s">
        <v>1941</v>
      </c>
      <c r="AO1" s="279"/>
      <c r="AP1" s="280"/>
      <c r="AQ1" s="280"/>
      <c r="AR1" s="281"/>
      <c r="AS1" s="281"/>
      <c r="AT1" s="281"/>
      <c r="AU1" s="281"/>
      <c r="AV1" s="281"/>
      <c r="AW1" s="279" t="s">
        <v>1942</v>
      </c>
      <c r="AX1" s="279"/>
      <c r="AY1" s="282" t="s">
        <v>1943</v>
      </c>
      <c r="AZ1" s="282"/>
      <c r="BA1" s="282"/>
      <c r="BB1" s="282"/>
      <c r="BC1" s="282"/>
      <c r="BD1" s="283" t="e">
        <f>#VALUE!</f>
        <v>#VALUE!</v>
      </c>
      <c r="BE1" s="283"/>
      <c r="BF1" s="284" t="s">
        <v>1693</v>
      </c>
      <c r="BG1" s="284"/>
      <c r="BH1" s="284"/>
      <c r="BI1" s="278" t="s">
        <v>1940</v>
      </c>
      <c r="BR1" s="279" t="s">
        <v>1941</v>
      </c>
      <c r="BS1" s="279"/>
      <c r="BT1" s="280"/>
      <c r="BU1" s="280"/>
      <c r="BV1" s="281"/>
      <c r="BW1" s="281"/>
      <c r="BX1" s="281"/>
      <c r="BY1" s="281"/>
      <c r="BZ1" s="281"/>
      <c r="CA1" s="279" t="s">
        <v>1942</v>
      </c>
      <c r="CB1" s="279"/>
      <c r="CC1" s="282" t="s">
        <v>1943</v>
      </c>
      <c r="CD1" s="282"/>
      <c r="CE1" s="282"/>
      <c r="CF1" s="282"/>
      <c r="CG1" s="282"/>
      <c r="CH1" s="283" t="str">
        <f>MAL!A2</f>
        <v>SCT</v>
      </c>
      <c r="CI1" s="283"/>
      <c r="CJ1" s="284" t="s">
        <v>1693</v>
      </c>
      <c r="CK1" s="284"/>
      <c r="CL1" s="284"/>
      <c r="CM1" s="278" t="s">
        <v>1940</v>
      </c>
      <c r="CV1" s="279" t="s">
        <v>1941</v>
      </c>
      <c r="CW1" s="279"/>
      <c r="CX1" s="280"/>
      <c r="CY1" s="280"/>
      <c r="CZ1" s="281"/>
      <c r="DA1" s="281"/>
      <c r="DB1" s="281"/>
      <c r="DC1" s="281"/>
      <c r="DD1" s="281"/>
      <c r="DE1" s="279" t="s">
        <v>1942</v>
      </c>
      <c r="DF1" s="279"/>
      <c r="DG1" s="282" t="s">
        <v>1943</v>
      </c>
      <c r="DH1" s="282"/>
      <c r="DI1" s="282"/>
      <c r="DJ1" s="282"/>
      <c r="DK1" s="282"/>
      <c r="DL1" s="283" t="str">
        <f>MAL!A3</f>
        <v>SCT</v>
      </c>
      <c r="DM1" s="283"/>
      <c r="DN1" s="284" t="s">
        <v>1693</v>
      </c>
      <c r="DO1" s="284"/>
      <c r="DP1" s="284"/>
      <c r="DQ1" s="278" t="s">
        <v>1940</v>
      </c>
      <c r="DZ1" s="279" t="s">
        <v>1941</v>
      </c>
      <c r="EA1" s="279"/>
      <c r="EB1" s="280"/>
      <c r="EC1" s="280"/>
      <c r="ED1" s="281"/>
      <c r="EE1" s="281"/>
      <c r="EF1" s="281"/>
      <c r="EG1" s="281"/>
      <c r="EH1" s="281"/>
      <c r="EI1" s="279" t="s">
        <v>1942</v>
      </c>
      <c r="EJ1" s="279"/>
      <c r="EK1" s="282" t="s">
        <v>1943</v>
      </c>
      <c r="EL1" s="282"/>
      <c r="EM1" s="282"/>
      <c r="EN1" s="282"/>
      <c r="EO1" s="282"/>
      <c r="EP1" s="283" t="e">
        <f>#VALUE!</f>
        <v>#VALUE!</v>
      </c>
      <c r="EQ1" s="283"/>
      <c r="ER1" s="284" t="s">
        <v>1693</v>
      </c>
      <c r="ES1" s="284"/>
      <c r="ET1" s="284"/>
      <c r="EU1" s="278" t="s">
        <v>1940</v>
      </c>
      <c r="FD1" s="279" t="s">
        <v>1941</v>
      </c>
      <c r="FE1" s="279"/>
      <c r="FF1" s="280"/>
      <c r="FG1" s="280"/>
      <c r="FH1" s="281"/>
      <c r="FI1" s="281"/>
      <c r="FJ1" s="281"/>
      <c r="FK1" s="281"/>
      <c r="FL1" s="281"/>
      <c r="FM1" s="279" t="s">
        <v>1942</v>
      </c>
      <c r="FN1" s="279"/>
      <c r="FO1" s="282" t="s">
        <v>1943</v>
      </c>
      <c r="FP1" s="282"/>
      <c r="FQ1" s="282"/>
      <c r="FR1" s="282"/>
      <c r="FS1" s="282"/>
      <c r="FT1" s="283" t="s">
        <v>1944</v>
      </c>
      <c r="FU1" s="283"/>
      <c r="FV1" s="284" t="s">
        <v>1693</v>
      </c>
      <c r="FW1" s="284"/>
      <c r="FX1" s="284"/>
      <c r="FY1" s="278" t="s">
        <v>1940</v>
      </c>
      <c r="GH1" s="279" t="s">
        <v>1941</v>
      </c>
      <c r="GI1" s="279"/>
      <c r="GJ1" s="280"/>
      <c r="GK1" s="280"/>
      <c r="GL1" s="281"/>
      <c r="GM1" s="281"/>
      <c r="GN1" s="281"/>
      <c r="GO1" s="281"/>
      <c r="GP1" s="281"/>
      <c r="GQ1" s="279" t="s">
        <v>1942</v>
      </c>
      <c r="GR1" s="279"/>
      <c r="GS1" s="282" t="s">
        <v>1943</v>
      </c>
      <c r="GT1" s="282"/>
      <c r="GU1" s="282"/>
      <c r="GV1" s="282"/>
      <c r="GW1" s="282"/>
      <c r="GX1" s="283" t="s">
        <v>1944</v>
      </c>
      <c r="GY1" s="283"/>
      <c r="GZ1" s="284" t="s">
        <v>1693</v>
      </c>
      <c r="HA1" s="284"/>
      <c r="HB1" s="284"/>
      <c r="HC1" s="278" t="s">
        <v>1940</v>
      </c>
      <c r="HL1" s="279" t="s">
        <v>1941</v>
      </c>
      <c r="HM1" s="279"/>
      <c r="HN1" s="280"/>
      <c r="HO1" s="280"/>
      <c r="HP1" s="281"/>
      <c r="HQ1" s="281"/>
      <c r="HR1" s="281"/>
      <c r="HS1" s="281"/>
      <c r="HT1" s="281"/>
      <c r="HU1" s="279" t="s">
        <v>1942</v>
      </c>
      <c r="HV1" s="279"/>
      <c r="HW1" s="282" t="s">
        <v>1943</v>
      </c>
      <c r="HX1" s="282"/>
      <c r="HY1" s="282"/>
      <c r="HZ1" s="282"/>
      <c r="IA1" s="282"/>
      <c r="IB1" s="283" t="e">
        <f>#VALUE!</f>
        <v>#VALUE!</v>
      </c>
      <c r="IC1" s="283"/>
      <c r="ID1" s="284" t="s">
        <v>1693</v>
      </c>
      <c r="IE1" s="284"/>
      <c r="IF1" s="284"/>
      <c r="IG1" s="278" t="s">
        <v>1940</v>
      </c>
      <c r="IP1" s="279" t="s">
        <v>1941</v>
      </c>
      <c r="IQ1" s="279"/>
      <c r="IR1" s="280"/>
      <c r="IS1" s="280"/>
      <c r="IT1" s="281"/>
      <c r="IU1" s="281"/>
      <c r="IV1" s="281"/>
      <c r="IW1" s="281"/>
      <c r="IX1" s="281"/>
      <c r="IY1" s="279" t="s">
        <v>1942</v>
      </c>
      <c r="IZ1" s="279"/>
      <c r="JA1" s="282" t="s">
        <v>1943</v>
      </c>
      <c r="JB1" s="282"/>
      <c r="JC1" s="282"/>
      <c r="JD1" s="282"/>
      <c r="JE1" s="282"/>
      <c r="JF1" s="283" t="e">
        <f>#VALUE!</f>
        <v>#VALUE!</v>
      </c>
      <c r="JG1" s="283"/>
      <c r="JH1" s="284" t="s">
        <v>1693</v>
      </c>
      <c r="JI1" s="284"/>
      <c r="JJ1" s="284"/>
      <c r="JK1" s="278" t="s">
        <v>1940</v>
      </c>
      <c r="JT1" s="279" t="s">
        <v>1941</v>
      </c>
      <c r="JU1" s="279"/>
      <c r="JV1" s="280"/>
      <c r="JW1" s="280"/>
      <c r="JX1" s="281"/>
      <c r="JY1" s="281"/>
      <c r="JZ1" s="281"/>
      <c r="KA1" s="281"/>
      <c r="KB1" s="281"/>
      <c r="KC1" s="279" t="s">
        <v>1942</v>
      </c>
      <c r="KD1" s="279"/>
      <c r="KE1" s="282" t="s">
        <v>1943</v>
      </c>
      <c r="KF1" s="282"/>
      <c r="KG1" s="282"/>
      <c r="KH1" s="282"/>
      <c r="KI1" s="282"/>
      <c r="KJ1" s="283">
        <f>MAL!HC2</f>
        <v>0</v>
      </c>
      <c r="KK1" s="283"/>
      <c r="KL1" s="284" t="s">
        <v>1693</v>
      </c>
      <c r="KM1" s="284"/>
      <c r="KN1" s="284"/>
      <c r="KO1" s="278" t="s">
        <v>1940</v>
      </c>
      <c r="KX1" s="279" t="s">
        <v>1941</v>
      </c>
      <c r="KY1" s="279"/>
      <c r="KZ1" s="280"/>
      <c r="LA1" s="280"/>
      <c r="LB1" s="281"/>
      <c r="LC1" s="281"/>
      <c r="LD1" s="281"/>
      <c r="LE1" s="281"/>
      <c r="LF1" s="281"/>
      <c r="LG1" s="279" t="s">
        <v>1942</v>
      </c>
      <c r="LH1" s="279"/>
      <c r="LI1" s="282" t="s">
        <v>1943</v>
      </c>
      <c r="LJ1" s="282"/>
      <c r="LK1" s="282"/>
      <c r="LL1" s="282"/>
      <c r="LM1" s="282"/>
      <c r="LN1" s="283">
        <f>MAL!HC3</f>
        <v>0</v>
      </c>
      <c r="LO1" s="283"/>
      <c r="LP1" s="284" t="s">
        <v>1693</v>
      </c>
      <c r="LQ1" s="284"/>
      <c r="LR1" s="284"/>
      <c r="LS1" s="278" t="s">
        <v>1940</v>
      </c>
      <c r="MB1" s="279" t="s">
        <v>1941</v>
      </c>
      <c r="MC1" s="279"/>
      <c r="MD1" s="280"/>
      <c r="ME1" s="280"/>
      <c r="MF1" s="281"/>
      <c r="MG1" s="281"/>
      <c r="MH1" s="281"/>
      <c r="MI1" s="281"/>
      <c r="MJ1" s="281"/>
      <c r="MK1" s="279" t="s">
        <v>1942</v>
      </c>
      <c r="ML1" s="279"/>
      <c r="MM1" s="282" t="s">
        <v>1943</v>
      </c>
      <c r="MN1" s="282"/>
      <c r="MO1" s="282"/>
      <c r="MP1" s="282"/>
      <c r="MQ1" s="282"/>
      <c r="MR1" s="283" t="e">
        <f>#VALUE!</f>
        <v>#VALUE!</v>
      </c>
      <c r="MS1" s="283"/>
      <c r="MT1" s="284" t="s">
        <v>1693</v>
      </c>
      <c r="MU1" s="284"/>
      <c r="MV1" s="284"/>
      <c r="MW1" s="278" t="s">
        <v>1940</v>
      </c>
      <c r="NF1" s="279" t="s">
        <v>1941</v>
      </c>
      <c r="NG1" s="279"/>
      <c r="NH1" s="280"/>
      <c r="NI1" s="280"/>
      <c r="NJ1" s="281"/>
      <c r="NK1" s="281"/>
      <c r="NL1" s="281"/>
      <c r="NM1" s="281"/>
      <c r="NN1" s="281"/>
      <c r="NO1" s="279" t="s">
        <v>1942</v>
      </c>
      <c r="NP1" s="279"/>
      <c r="NQ1" s="282" t="s">
        <v>1943</v>
      </c>
      <c r="NR1" s="282"/>
      <c r="NS1" s="282"/>
      <c r="NT1" s="282"/>
      <c r="NU1" s="282"/>
      <c r="NV1" s="283" t="s">
        <v>1944</v>
      </c>
      <c r="NW1" s="283"/>
      <c r="NX1" s="284" t="s">
        <v>1693</v>
      </c>
      <c r="NY1" s="284"/>
      <c r="NZ1" s="284"/>
      <c r="OA1" s="278" t="s">
        <v>1940</v>
      </c>
      <c r="OJ1" s="279" t="s">
        <v>1941</v>
      </c>
      <c r="OK1" s="279"/>
      <c r="OL1" s="280"/>
      <c r="OM1" s="280"/>
      <c r="ON1" s="281"/>
      <c r="OO1" s="281"/>
      <c r="OP1" s="281"/>
      <c r="OQ1" s="281"/>
      <c r="OR1" s="281"/>
      <c r="OS1" s="279" t="s">
        <v>1942</v>
      </c>
      <c r="OT1" s="279"/>
      <c r="OU1" s="282" t="s">
        <v>1943</v>
      </c>
      <c r="OV1" s="282"/>
      <c r="OW1" s="282"/>
      <c r="OX1" s="282"/>
      <c r="OY1" s="282"/>
      <c r="OZ1" s="283" t="s">
        <v>1944</v>
      </c>
      <c r="PA1" s="283"/>
      <c r="PB1" s="284" t="s">
        <v>1693</v>
      </c>
      <c r="PC1" s="284"/>
      <c r="PD1" s="284"/>
      <c r="PE1" s="278" t="s">
        <v>1940</v>
      </c>
      <c r="PN1" s="279" t="s">
        <v>1941</v>
      </c>
      <c r="PO1" s="279"/>
      <c r="PP1" s="280"/>
      <c r="PQ1" s="280"/>
      <c r="PR1" s="281"/>
      <c r="PS1" s="281"/>
      <c r="PT1" s="281"/>
      <c r="PU1" s="281"/>
      <c r="PV1" s="281"/>
      <c r="PW1" s="279" t="s">
        <v>1942</v>
      </c>
      <c r="PX1" s="279"/>
      <c r="PY1" s="282" t="s">
        <v>1943</v>
      </c>
      <c r="PZ1" s="282"/>
      <c r="QA1" s="282"/>
      <c r="QB1" s="282"/>
      <c r="QC1" s="282"/>
      <c r="QD1" s="283" t="e">
        <f>#VALUE!</f>
        <v>#VALUE!</v>
      </c>
      <c r="QE1" s="283"/>
      <c r="QF1" s="284" t="s">
        <v>1693</v>
      </c>
      <c r="QG1" s="284"/>
      <c r="QH1" s="284"/>
      <c r="QI1" s="278" t="s">
        <v>1940</v>
      </c>
      <c r="QR1" s="279" t="s">
        <v>1941</v>
      </c>
      <c r="QS1" s="279"/>
      <c r="QT1" s="280"/>
      <c r="QU1" s="280"/>
      <c r="QV1" s="281"/>
      <c r="QW1" s="281"/>
      <c r="QX1" s="281"/>
      <c r="QY1" s="281"/>
      <c r="QZ1" s="281"/>
      <c r="RA1" s="279" t="s">
        <v>1942</v>
      </c>
      <c r="RB1" s="279"/>
      <c r="RC1" s="282" t="s">
        <v>1943</v>
      </c>
      <c r="RD1" s="282"/>
      <c r="RE1" s="282"/>
      <c r="RF1" s="282"/>
      <c r="RG1" s="282"/>
      <c r="RH1" s="283" t="e">
        <f>#VALUE!</f>
        <v>#VALUE!</v>
      </c>
      <c r="RI1" s="283"/>
      <c r="RJ1" s="284" t="s">
        <v>1693</v>
      </c>
      <c r="RK1" s="284"/>
      <c r="RL1" s="284"/>
      <c r="RM1" s="278" t="s">
        <v>1940</v>
      </c>
      <c r="RV1" s="279" t="s">
        <v>1941</v>
      </c>
      <c r="RW1" s="279"/>
      <c r="RX1" s="280"/>
      <c r="RY1" s="280"/>
      <c r="RZ1" s="281"/>
      <c r="SA1" s="281"/>
      <c r="SB1" s="281"/>
      <c r="SC1" s="281"/>
      <c r="SD1" s="281"/>
      <c r="SE1" s="279" t="s">
        <v>1942</v>
      </c>
      <c r="SF1" s="279"/>
      <c r="SG1" s="282" t="s">
        <v>1943</v>
      </c>
      <c r="SH1" s="282"/>
      <c r="SI1" s="282"/>
      <c r="SJ1" s="282"/>
      <c r="SK1" s="282"/>
      <c r="SL1" s="283">
        <f>MAL!PE2</f>
        <v>0</v>
      </c>
      <c r="SM1" s="283"/>
      <c r="SN1" s="284" t="s">
        <v>1693</v>
      </c>
      <c r="SO1" s="284"/>
      <c r="SP1" s="284"/>
      <c r="SQ1" s="278" t="s">
        <v>1940</v>
      </c>
      <c r="SZ1" s="279" t="s">
        <v>1941</v>
      </c>
      <c r="TA1" s="279"/>
      <c r="TB1" s="280"/>
      <c r="TC1" s="280"/>
      <c r="TD1" s="281"/>
      <c r="TE1" s="281"/>
      <c r="TF1" s="281"/>
      <c r="TG1" s="281"/>
      <c r="TH1" s="281"/>
      <c r="TI1" s="279" t="s">
        <v>1942</v>
      </c>
      <c r="TJ1" s="279"/>
      <c r="TK1" s="282" t="s">
        <v>1943</v>
      </c>
      <c r="TL1" s="282"/>
      <c r="TM1" s="282"/>
      <c r="TN1" s="282"/>
      <c r="TO1" s="282"/>
      <c r="TP1" s="283">
        <f>MAL!PE3</f>
        <v>0</v>
      </c>
      <c r="TQ1" s="283"/>
      <c r="TR1" s="284" t="s">
        <v>1693</v>
      </c>
      <c r="TS1" s="284"/>
      <c r="TT1" s="284"/>
      <c r="TU1" s="278" t="s">
        <v>1940</v>
      </c>
      <c r="UD1" s="279" t="s">
        <v>1941</v>
      </c>
      <c r="UE1" s="279"/>
      <c r="UF1" s="280"/>
      <c r="UG1" s="280"/>
      <c r="UH1" s="281"/>
      <c r="UI1" s="281"/>
      <c r="UJ1" s="281"/>
      <c r="UK1" s="281"/>
      <c r="UL1" s="281"/>
      <c r="UM1" s="279" t="s">
        <v>1942</v>
      </c>
      <c r="UN1" s="279"/>
      <c r="UO1" s="282" t="s">
        <v>1943</v>
      </c>
      <c r="UP1" s="282"/>
      <c r="UQ1" s="282"/>
      <c r="UR1" s="282"/>
      <c r="US1" s="282"/>
      <c r="UT1" s="283" t="e">
        <f>#VALUE!</f>
        <v>#VALUE!</v>
      </c>
      <c r="UU1" s="283"/>
      <c r="UV1" s="284" t="s">
        <v>1693</v>
      </c>
      <c r="UW1" s="284"/>
      <c r="UX1" s="284"/>
      <c r="UY1" s="278" t="s">
        <v>1940</v>
      </c>
      <c r="VH1" s="279" t="s">
        <v>1941</v>
      </c>
      <c r="VI1" s="279"/>
      <c r="VJ1" s="280"/>
      <c r="VK1" s="280"/>
      <c r="VL1" s="281"/>
      <c r="VM1" s="281"/>
      <c r="VN1" s="281"/>
      <c r="VO1" s="281"/>
      <c r="VP1" s="281"/>
      <c r="VQ1" s="279" t="s">
        <v>1942</v>
      </c>
      <c r="VR1" s="279"/>
      <c r="VS1" s="282" t="s">
        <v>1943</v>
      </c>
      <c r="VT1" s="282"/>
      <c r="VU1" s="282"/>
      <c r="VV1" s="282"/>
      <c r="VW1" s="282"/>
      <c r="VX1" s="283" t="s">
        <v>1944</v>
      </c>
      <c r="VY1" s="283"/>
      <c r="VZ1" s="284" t="s">
        <v>1693</v>
      </c>
      <c r="WA1" s="284"/>
      <c r="WB1" s="284"/>
      <c r="WC1" s="278" t="s">
        <v>1940</v>
      </c>
      <c r="WL1" s="279" t="s">
        <v>1941</v>
      </c>
      <c r="WM1" s="279"/>
      <c r="WN1" s="280"/>
      <c r="WO1" s="280"/>
      <c r="WP1" s="281"/>
      <c r="WQ1" s="281"/>
      <c r="WR1" s="281"/>
      <c r="WS1" s="281"/>
      <c r="WT1" s="281"/>
      <c r="WU1" s="279" t="s">
        <v>1942</v>
      </c>
      <c r="WV1" s="279"/>
      <c r="WW1" s="282" t="s">
        <v>1943</v>
      </c>
      <c r="WX1" s="282"/>
      <c r="WY1" s="282"/>
      <c r="WZ1" s="282"/>
      <c r="XA1" s="282"/>
      <c r="XB1" s="283" t="s">
        <v>1944</v>
      </c>
      <c r="XC1" s="283"/>
      <c r="XD1" s="284" t="s">
        <v>1693</v>
      </c>
      <c r="XE1" s="284"/>
      <c r="XF1" s="284"/>
      <c r="XG1" s="278" t="s">
        <v>1940</v>
      </c>
      <c r="XP1" s="279" t="s">
        <v>1941</v>
      </c>
      <c r="XQ1" s="279"/>
      <c r="XR1" s="280"/>
      <c r="XS1" s="280"/>
      <c r="XT1" s="281"/>
      <c r="XU1" s="281"/>
      <c r="XV1" s="281"/>
      <c r="XW1" s="281"/>
      <c r="XX1" s="281"/>
      <c r="XY1" s="279" t="s">
        <v>1942</v>
      </c>
      <c r="XZ1" s="279"/>
      <c r="YA1" s="282" t="s">
        <v>1943</v>
      </c>
      <c r="YB1" s="282"/>
      <c r="YC1" s="282"/>
      <c r="YD1" s="282"/>
      <c r="YE1" s="282"/>
      <c r="YF1" s="283" t="e">
        <f>#VALUE!</f>
        <v>#VALUE!</v>
      </c>
      <c r="YG1" s="283"/>
      <c r="YH1" s="284" t="s">
        <v>1693</v>
      </c>
      <c r="YI1" s="284"/>
      <c r="YJ1" s="284"/>
      <c r="YK1" s="278" t="s">
        <v>1940</v>
      </c>
      <c r="YT1" s="279" t="s">
        <v>1941</v>
      </c>
      <c r="YU1" s="279"/>
      <c r="YV1" s="280"/>
      <c r="YW1" s="280"/>
      <c r="YX1" s="281"/>
      <c r="YY1" s="281"/>
      <c r="YZ1" s="281"/>
      <c r="ZA1" s="281"/>
      <c r="ZB1" s="281"/>
      <c r="ZC1" s="279" t="s">
        <v>1942</v>
      </c>
      <c r="ZD1" s="279"/>
      <c r="ZE1" s="282" t="s">
        <v>1943</v>
      </c>
      <c r="ZF1" s="282"/>
      <c r="ZG1" s="282"/>
      <c r="ZH1" s="282"/>
      <c r="ZI1" s="282"/>
      <c r="ZJ1" s="283" t="e">
        <f>#VALUE!</f>
        <v>#VALUE!</v>
      </c>
      <c r="ZK1" s="283"/>
      <c r="ZL1" s="284" t="s">
        <v>1693</v>
      </c>
      <c r="ZM1" s="284"/>
      <c r="ZN1" s="284"/>
      <c r="ZO1" s="278" t="s">
        <v>1940</v>
      </c>
      <c r="ZX1" s="279" t="s">
        <v>1941</v>
      </c>
      <c r="ZY1" s="279"/>
      <c r="ZZ1" s="280"/>
      <c r="AAA1" s="280"/>
      <c r="AAB1" s="281"/>
      <c r="AAC1" s="281"/>
      <c r="AAD1" s="281"/>
      <c r="AAE1" s="281"/>
      <c r="AAF1" s="281"/>
      <c r="AAG1" s="279" t="s">
        <v>1942</v>
      </c>
      <c r="AAH1" s="279"/>
      <c r="AAI1" s="282" t="s">
        <v>1943</v>
      </c>
      <c r="AAJ1" s="282"/>
      <c r="AAK1" s="282"/>
      <c r="AAL1" s="282"/>
      <c r="AAM1" s="282"/>
      <c r="AAN1" s="283">
        <f>MAL!XG2</f>
        <v>0</v>
      </c>
      <c r="AAO1" s="283"/>
      <c r="AAP1" s="284" t="s">
        <v>1693</v>
      </c>
      <c r="AAQ1" s="284"/>
      <c r="AAR1" s="284"/>
      <c r="AAS1" s="278" t="s">
        <v>1940</v>
      </c>
      <c r="ABB1" s="279" t="s">
        <v>1941</v>
      </c>
      <c r="ABC1" s="279"/>
      <c r="ABD1" s="280"/>
      <c r="ABE1" s="280"/>
      <c r="ABF1" s="281"/>
      <c r="ABG1" s="281"/>
      <c r="ABH1" s="281"/>
      <c r="ABI1" s="281"/>
      <c r="ABJ1" s="281"/>
      <c r="ABK1" s="279" t="s">
        <v>1942</v>
      </c>
      <c r="ABL1" s="279"/>
      <c r="ABM1" s="282" t="s">
        <v>1943</v>
      </c>
      <c r="ABN1" s="282"/>
      <c r="ABO1" s="282"/>
      <c r="ABP1" s="282"/>
      <c r="ABQ1" s="282"/>
      <c r="ABR1" s="283">
        <f>MAL!XG3</f>
        <v>0</v>
      </c>
      <c r="ABS1" s="283"/>
      <c r="ABT1" s="284" t="s">
        <v>1693</v>
      </c>
      <c r="ABU1" s="284"/>
      <c r="ABV1" s="284"/>
      <c r="ABW1" s="278" t="s">
        <v>1940</v>
      </c>
      <c r="ACF1" s="279" t="s">
        <v>1941</v>
      </c>
      <c r="ACG1" s="279"/>
      <c r="ACH1" s="280"/>
      <c r="ACI1" s="280"/>
      <c r="ACJ1" s="281"/>
      <c r="ACK1" s="281"/>
      <c r="ACL1" s="281"/>
      <c r="ACM1" s="281"/>
      <c r="ACN1" s="281"/>
      <c r="ACO1" s="279" t="s">
        <v>1942</v>
      </c>
      <c r="ACP1" s="279"/>
      <c r="ACQ1" s="282" t="s">
        <v>1943</v>
      </c>
      <c r="ACR1" s="282"/>
      <c r="ACS1" s="282"/>
      <c r="ACT1" s="282"/>
      <c r="ACU1" s="282"/>
      <c r="ACV1" s="283" t="e">
        <f>#VALUE!</f>
        <v>#VALUE!</v>
      </c>
      <c r="ACW1" s="283"/>
      <c r="ACX1" s="284" t="s">
        <v>1693</v>
      </c>
      <c r="ACY1" s="284"/>
      <c r="ACZ1" s="284"/>
      <c r="ADA1" s="278" t="s">
        <v>1940</v>
      </c>
      <c r="ADJ1" s="279" t="s">
        <v>1941</v>
      </c>
      <c r="ADK1" s="279"/>
      <c r="ADL1" s="280"/>
      <c r="ADM1" s="280"/>
      <c r="ADN1" s="281"/>
      <c r="ADO1" s="281"/>
      <c r="ADP1" s="281"/>
      <c r="ADQ1" s="281"/>
      <c r="ADR1" s="281"/>
      <c r="ADS1" s="279" t="s">
        <v>1942</v>
      </c>
      <c r="ADT1" s="279"/>
      <c r="ADU1" s="282" t="s">
        <v>1943</v>
      </c>
      <c r="ADV1" s="282"/>
      <c r="ADW1" s="282"/>
      <c r="ADX1" s="282"/>
      <c r="ADY1" s="282"/>
      <c r="ADZ1" s="283" t="s">
        <v>1944</v>
      </c>
      <c r="AEA1" s="283"/>
      <c r="AEB1" s="284" t="s">
        <v>1693</v>
      </c>
      <c r="AEC1" s="284"/>
      <c r="AED1" s="284"/>
      <c r="AEE1" s="278" t="s">
        <v>1940</v>
      </c>
      <c r="AEN1" s="279" t="s">
        <v>1941</v>
      </c>
      <c r="AEO1" s="279"/>
      <c r="AEP1" s="280"/>
      <c r="AEQ1" s="280"/>
      <c r="AER1" s="281"/>
      <c r="AES1" s="281"/>
      <c r="AET1" s="281"/>
      <c r="AEU1" s="281"/>
      <c r="AEV1" s="281"/>
      <c r="AEW1" s="279" t="s">
        <v>1942</v>
      </c>
      <c r="AEX1" s="279"/>
      <c r="AEY1" s="282" t="s">
        <v>1943</v>
      </c>
      <c r="AEZ1" s="282"/>
      <c r="AFA1" s="282"/>
      <c r="AFB1" s="282"/>
      <c r="AFC1" s="282"/>
      <c r="AFD1" s="283" t="s">
        <v>1944</v>
      </c>
      <c r="AFE1" s="283"/>
      <c r="AFF1" s="284" t="s">
        <v>1693</v>
      </c>
      <c r="AFG1" s="284"/>
      <c r="AFH1" s="284"/>
      <c r="AFI1" s="278" t="s">
        <v>1940</v>
      </c>
      <c r="AFR1" s="279" t="s">
        <v>1941</v>
      </c>
      <c r="AFS1" s="279"/>
      <c r="AFT1" s="280"/>
      <c r="AFU1" s="280"/>
      <c r="AFV1" s="281"/>
      <c r="AFW1" s="281"/>
      <c r="AFX1" s="281"/>
      <c r="AFY1" s="281"/>
      <c r="AFZ1" s="281"/>
      <c r="AGA1" s="279" t="s">
        <v>1942</v>
      </c>
      <c r="AGB1" s="279"/>
      <c r="AGC1" s="282" t="s">
        <v>1943</v>
      </c>
      <c r="AGD1" s="282"/>
      <c r="AGE1" s="282"/>
      <c r="AGF1" s="282"/>
      <c r="AGG1" s="282"/>
      <c r="AGH1" s="283" t="e">
        <f>#VALUE!</f>
        <v>#VALUE!</v>
      </c>
      <c r="AGI1" s="283"/>
      <c r="AGJ1" s="284" t="s">
        <v>1693</v>
      </c>
      <c r="AGK1" s="284"/>
      <c r="AGL1" s="284"/>
      <c r="AGM1" s="278" t="s">
        <v>1940</v>
      </c>
      <c r="AGV1" s="279" t="s">
        <v>1941</v>
      </c>
      <c r="AGW1" s="279"/>
      <c r="AGX1" s="280"/>
      <c r="AGY1" s="280"/>
      <c r="AGZ1" s="281"/>
      <c r="AHA1" s="281"/>
      <c r="AHB1" s="281"/>
      <c r="AHC1" s="281"/>
      <c r="AHD1" s="281"/>
      <c r="AHE1" s="279" t="s">
        <v>1942</v>
      </c>
      <c r="AHF1" s="279"/>
      <c r="AHG1" s="282" t="s">
        <v>1943</v>
      </c>
      <c r="AHH1" s="282"/>
      <c r="AHI1" s="282"/>
      <c r="AHJ1" s="282"/>
      <c r="AHK1" s="282"/>
      <c r="AHL1" s="283" t="e">
        <f>#VALUE!</f>
        <v>#VALUE!</v>
      </c>
      <c r="AHM1" s="283"/>
      <c r="AHN1" s="284" t="s">
        <v>1693</v>
      </c>
      <c r="AHO1" s="284"/>
      <c r="AHP1" s="284"/>
      <c r="AHQ1" s="278" t="s">
        <v>1940</v>
      </c>
      <c r="AHZ1" s="279" t="s">
        <v>1941</v>
      </c>
      <c r="AIA1" s="279"/>
      <c r="AIB1" s="280"/>
      <c r="AIC1" s="280"/>
      <c r="AID1" s="281"/>
      <c r="AIE1" s="281"/>
      <c r="AIF1" s="281"/>
      <c r="AIG1" s="281"/>
      <c r="AIH1" s="281"/>
      <c r="AII1" s="279" t="s">
        <v>1942</v>
      </c>
      <c r="AIJ1" s="279"/>
      <c r="AIK1" s="282" t="s">
        <v>1943</v>
      </c>
      <c r="AIL1" s="282"/>
      <c r="AIM1" s="282"/>
      <c r="AIN1" s="282"/>
      <c r="AIO1" s="282"/>
      <c r="AIP1" s="283">
        <f>MAL!AFI2</f>
        <v>0</v>
      </c>
      <c r="AIQ1" s="283"/>
      <c r="AIR1" s="284" t="s">
        <v>1693</v>
      </c>
      <c r="AIS1" s="284"/>
      <c r="AIT1" s="284"/>
      <c r="AIU1" s="278" t="s">
        <v>1940</v>
      </c>
      <c r="AJD1" s="279" t="s">
        <v>1941</v>
      </c>
      <c r="AJE1" s="279"/>
      <c r="AJF1" s="280"/>
      <c r="AJG1" s="280"/>
      <c r="AJH1" s="281"/>
      <c r="AJI1" s="281"/>
      <c r="AJJ1" s="281"/>
      <c r="AJK1" s="281"/>
      <c r="AJL1" s="281"/>
      <c r="AJM1" s="279" t="s">
        <v>1942</v>
      </c>
      <c r="AJN1" s="279"/>
      <c r="AJO1" s="282" t="s">
        <v>1943</v>
      </c>
      <c r="AJP1" s="282"/>
      <c r="AJQ1" s="282"/>
      <c r="AJR1" s="282"/>
      <c r="AJS1" s="282"/>
      <c r="AJT1" s="283">
        <f>MAL!AFI3</f>
        <v>0</v>
      </c>
      <c r="AJU1" s="283"/>
      <c r="AJV1" s="284" t="s">
        <v>1693</v>
      </c>
      <c r="AJW1" s="284"/>
      <c r="AJX1" s="284"/>
      <c r="AJY1" s="278" t="s">
        <v>1940</v>
      </c>
      <c r="AKH1" s="279" t="s">
        <v>1941</v>
      </c>
      <c r="AKI1" s="279"/>
      <c r="AKJ1" s="280"/>
      <c r="AKK1" s="280"/>
      <c r="AKL1" s="281"/>
      <c r="AKM1" s="281"/>
      <c r="AKN1" s="281"/>
      <c r="AKO1" s="281"/>
      <c r="AKP1" s="281"/>
      <c r="AKQ1" s="279" t="s">
        <v>1942</v>
      </c>
      <c r="AKR1" s="279"/>
      <c r="AKS1" s="282" t="s">
        <v>1943</v>
      </c>
      <c r="AKT1" s="282"/>
      <c r="AKU1" s="282"/>
      <c r="AKV1" s="282"/>
      <c r="AKW1" s="282"/>
      <c r="AKX1" s="283" t="e">
        <f>#VALUE!</f>
        <v>#VALUE!</v>
      </c>
      <c r="AKY1" s="283"/>
      <c r="AKZ1" s="284" t="s">
        <v>1693</v>
      </c>
      <c r="ALA1" s="284"/>
      <c r="ALB1" s="284"/>
      <c r="ALC1" s="278" t="s">
        <v>1940</v>
      </c>
      <c r="ALL1" s="279" t="s">
        <v>1941</v>
      </c>
      <c r="ALM1" s="279"/>
      <c r="ALN1" s="280"/>
      <c r="ALO1" s="280"/>
      <c r="ALP1" s="281"/>
      <c r="ALQ1" s="281"/>
      <c r="ALR1" s="281"/>
      <c r="ALS1" s="281"/>
      <c r="ALT1" s="281"/>
      <c r="ALU1" s="279" t="s">
        <v>1942</v>
      </c>
      <c r="ALV1" s="279"/>
      <c r="ALW1" s="282" t="s">
        <v>1943</v>
      </c>
      <c r="ALX1" s="282"/>
      <c r="ALY1" s="282"/>
      <c r="ALZ1" s="282"/>
      <c r="AMA1" s="282"/>
      <c r="AMB1" s="283" t="s">
        <v>1944</v>
      </c>
      <c r="AMC1" s="283"/>
      <c r="AMD1" s="284" t="s">
        <v>1693</v>
      </c>
      <c r="AME1" s="284"/>
      <c r="AMF1" s="284"/>
      <c r="AMG1" s="285" t="s">
        <v>1940</v>
      </c>
      <c r="AMH1" s="285"/>
      <c r="AMI1" s="285"/>
      <c r="AMJ1" s="285"/>
    </row>
    <row r="2" spans="1:1024" ht="15.75" x14ac:dyDescent="0.2">
      <c r="A2" s="286" t="s">
        <v>1945</v>
      </c>
      <c r="I2" s="287"/>
      <c r="J2" s="288" t="s">
        <v>1946</v>
      </c>
      <c r="K2" s="288"/>
      <c r="L2" s="288"/>
      <c r="M2" s="288"/>
      <c r="N2" s="281"/>
      <c r="O2" s="281"/>
      <c r="P2" s="281"/>
      <c r="Q2" s="281"/>
      <c r="R2" s="281"/>
      <c r="S2" s="289" t="e">
        <f>#VALUE!</f>
        <v>#VALUE!</v>
      </c>
      <c r="T2" s="289"/>
      <c r="U2" s="289"/>
      <c r="V2" s="289"/>
      <c r="W2" s="290" t="e">
        <f>#VALUE!</f>
        <v>#VALUE!</v>
      </c>
      <c r="X2" s="290"/>
      <c r="Y2" s="290"/>
      <c r="Z2" s="291" t="str">
        <f>MAL!E2</f>
        <v>1LT</v>
      </c>
      <c r="AA2" s="291"/>
      <c r="AB2" s="292" t="s">
        <v>1947</v>
      </c>
      <c r="AC2" s="292"/>
      <c r="AD2" s="293">
        <f>MAL!D2</f>
        <v>1</v>
      </c>
      <c r="AE2" s="286" t="s">
        <v>1945</v>
      </c>
      <c r="AM2" s="287"/>
      <c r="AN2" s="288" t="s">
        <v>1946</v>
      </c>
      <c r="AO2" s="288"/>
      <c r="AP2" s="288"/>
      <c r="AQ2" s="288"/>
      <c r="AR2" s="281"/>
      <c r="AS2" s="281"/>
      <c r="AT2" s="281"/>
      <c r="AU2" s="281"/>
      <c r="AV2" s="281"/>
      <c r="AW2" s="294" t="e">
        <f>#VALUE!</f>
        <v>#VALUE!</v>
      </c>
      <c r="AX2" s="294"/>
      <c r="AY2" s="294"/>
      <c r="AZ2" s="294"/>
      <c r="BA2" s="290">
        <f>MAL!G3</f>
        <v>0</v>
      </c>
      <c r="BB2" s="290"/>
      <c r="BC2" s="290"/>
      <c r="BD2" s="291">
        <f>MAL!E3</f>
        <v>0</v>
      </c>
      <c r="BE2" s="291"/>
      <c r="BF2" s="292" t="s">
        <v>1947</v>
      </c>
      <c r="BG2" s="292"/>
      <c r="BH2" s="293">
        <f>MAL!D3</f>
        <v>2</v>
      </c>
      <c r="BI2" s="286" t="s">
        <v>1945</v>
      </c>
      <c r="BQ2" s="287"/>
      <c r="BR2" s="288" t="s">
        <v>1946</v>
      </c>
      <c r="BS2" s="288"/>
      <c r="BT2" s="288"/>
      <c r="BU2" s="288"/>
      <c r="BV2" s="281"/>
      <c r="BW2" s="281"/>
      <c r="BX2" s="281"/>
      <c r="BY2" s="281"/>
      <c r="BZ2" s="281"/>
      <c r="CA2" s="289" t="e">
        <f>#VALUE!</f>
        <v>#VALUE!</v>
      </c>
      <c r="CB2" s="289"/>
      <c r="CC2" s="289"/>
      <c r="CD2" s="289"/>
      <c r="CE2" s="290" t="e">
        <f>#VALUE!</f>
        <v>#VALUE!</v>
      </c>
      <c r="CF2" s="290"/>
      <c r="CG2" s="290"/>
      <c r="CH2" s="291" t="str">
        <f>MAL!E2</f>
        <v>1LT</v>
      </c>
      <c r="CI2" s="291"/>
      <c r="CJ2" s="292" t="s">
        <v>1947</v>
      </c>
      <c r="CK2" s="292"/>
      <c r="CL2" s="293">
        <f>MAL!D2</f>
        <v>1</v>
      </c>
      <c r="CM2" s="286" t="s">
        <v>1945</v>
      </c>
      <c r="CU2" s="287"/>
      <c r="CV2" s="288" t="s">
        <v>1946</v>
      </c>
      <c r="CW2" s="288"/>
      <c r="CX2" s="288"/>
      <c r="CY2" s="288"/>
      <c r="CZ2" s="281"/>
      <c r="DA2" s="281"/>
      <c r="DB2" s="281"/>
      <c r="DC2" s="281"/>
      <c r="DD2" s="281"/>
      <c r="DE2" s="289" t="e">
        <f>#VALUE!</f>
        <v>#VALUE!</v>
      </c>
      <c r="DF2" s="289"/>
      <c r="DG2" s="289"/>
      <c r="DH2" s="289"/>
      <c r="DI2" s="290">
        <f>MAL!G3</f>
        <v>0</v>
      </c>
      <c r="DJ2" s="290"/>
      <c r="DK2" s="290"/>
      <c r="DL2" s="291">
        <f>MAL!E3</f>
        <v>0</v>
      </c>
      <c r="DM2" s="291"/>
      <c r="DN2" s="292" t="s">
        <v>1947</v>
      </c>
      <c r="DO2" s="292"/>
      <c r="DP2" s="293">
        <f>MAL!D3</f>
        <v>2</v>
      </c>
      <c r="DQ2" s="286" t="s">
        <v>1945</v>
      </c>
      <c r="DY2" s="287"/>
      <c r="DZ2" s="288" t="s">
        <v>1946</v>
      </c>
      <c r="EA2" s="288"/>
      <c r="EB2" s="288"/>
      <c r="EC2" s="288"/>
      <c r="ED2" s="281"/>
      <c r="EE2" s="281"/>
      <c r="EF2" s="281"/>
      <c r="EG2" s="281"/>
      <c r="EH2" s="281"/>
      <c r="EI2" s="289" t="e">
        <f>#VALUE!</f>
        <v>#VALUE!</v>
      </c>
      <c r="EJ2" s="289"/>
      <c r="EK2" s="289"/>
      <c r="EL2" s="289"/>
      <c r="EM2" s="290" t="e">
        <f>#VALUE!</f>
        <v>#VALUE!</v>
      </c>
      <c r="EN2" s="290"/>
      <c r="EO2" s="290"/>
      <c r="EP2" s="291" t="e">
        <f>#VALUE!</f>
        <v>#VALUE!</v>
      </c>
      <c r="EQ2" s="291"/>
      <c r="ER2" s="292" t="s">
        <v>1947</v>
      </c>
      <c r="ES2" s="292"/>
      <c r="ET2" s="293" t="e">
        <f>#VALUE!</f>
        <v>#VALUE!</v>
      </c>
      <c r="EU2" s="286" t="s">
        <v>1945</v>
      </c>
      <c r="FC2" s="287"/>
      <c r="FD2" s="288" t="s">
        <v>1946</v>
      </c>
      <c r="FE2" s="288"/>
      <c r="FF2" s="288"/>
      <c r="FG2" s="288"/>
      <c r="FH2" s="281"/>
      <c r="FI2" s="281"/>
      <c r="FJ2" s="281"/>
      <c r="FK2" s="281"/>
      <c r="FL2" s="281"/>
      <c r="FM2" s="289" t="s">
        <v>1948</v>
      </c>
      <c r="FN2" s="289"/>
      <c r="FO2" s="289"/>
      <c r="FP2" s="289"/>
      <c r="FQ2" s="290" t="s">
        <v>1949</v>
      </c>
      <c r="FR2" s="290"/>
      <c r="FS2" s="290"/>
      <c r="FT2" s="291" t="s">
        <v>1950</v>
      </c>
      <c r="FU2" s="291"/>
      <c r="FV2" s="292" t="s">
        <v>1947</v>
      </c>
      <c r="FW2" s="292"/>
      <c r="FX2" s="293" t="s">
        <v>1951</v>
      </c>
      <c r="FY2" s="286" t="s">
        <v>1945</v>
      </c>
      <c r="GG2" s="287"/>
      <c r="GH2" s="288" t="s">
        <v>1946</v>
      </c>
      <c r="GI2" s="288"/>
      <c r="GJ2" s="288"/>
      <c r="GK2" s="288"/>
      <c r="GL2" s="281"/>
      <c r="GM2" s="281"/>
      <c r="GN2" s="281"/>
      <c r="GO2" s="281"/>
      <c r="GP2" s="281"/>
      <c r="GQ2" s="289" t="s">
        <v>1948</v>
      </c>
      <c r="GR2" s="289"/>
      <c r="GS2" s="289"/>
      <c r="GT2" s="289"/>
      <c r="GU2" s="290" t="s">
        <v>1949</v>
      </c>
      <c r="GV2" s="290"/>
      <c r="GW2" s="290"/>
      <c r="GX2" s="291" t="s">
        <v>1950</v>
      </c>
      <c r="GY2" s="291"/>
      <c r="GZ2" s="292" t="s">
        <v>1947</v>
      </c>
      <c r="HA2" s="292"/>
      <c r="HB2" s="293" t="s">
        <v>1951</v>
      </c>
      <c r="HC2" s="286" t="s">
        <v>1945</v>
      </c>
      <c r="HK2" s="287"/>
      <c r="HL2" s="288" t="s">
        <v>1946</v>
      </c>
      <c r="HM2" s="288"/>
      <c r="HN2" s="288"/>
      <c r="HO2" s="288"/>
      <c r="HP2" s="281"/>
      <c r="HQ2" s="281"/>
      <c r="HR2" s="281"/>
      <c r="HS2" s="281"/>
      <c r="HT2" s="281"/>
      <c r="HU2" s="289">
        <f>MAL!HI2</f>
        <v>0</v>
      </c>
      <c r="HV2" s="289"/>
      <c r="HW2" s="289"/>
      <c r="HX2" s="289"/>
      <c r="HY2" s="290">
        <f>MAL!HJ2</f>
        <v>0</v>
      </c>
      <c r="HZ2" s="290"/>
      <c r="IA2" s="290"/>
      <c r="IB2" s="291">
        <f>MAL!HH2</f>
        <v>0</v>
      </c>
      <c r="IC2" s="291"/>
      <c r="ID2" s="292" t="s">
        <v>1947</v>
      </c>
      <c r="IE2" s="292"/>
      <c r="IF2" s="293">
        <f>MAL!HF2</f>
        <v>0</v>
      </c>
      <c r="IG2" s="286" t="s">
        <v>1945</v>
      </c>
      <c r="IO2" s="287"/>
      <c r="IP2" s="288" t="s">
        <v>1946</v>
      </c>
      <c r="IQ2" s="288"/>
      <c r="IR2" s="288"/>
      <c r="IS2" s="288"/>
      <c r="IT2" s="281"/>
      <c r="IU2" s="281"/>
      <c r="IV2" s="281"/>
      <c r="IW2" s="281"/>
      <c r="IX2" s="281"/>
      <c r="IY2" s="289" t="e">
        <f>#VALUE!</f>
        <v>#VALUE!</v>
      </c>
      <c r="IZ2" s="289"/>
      <c r="JA2" s="289"/>
      <c r="JB2" s="289"/>
      <c r="JC2" s="290" t="e">
        <f>#VALUE!</f>
        <v>#VALUE!</v>
      </c>
      <c r="JD2" s="290"/>
      <c r="JE2" s="290"/>
      <c r="JF2" s="291" t="e">
        <f>#VALUE!</f>
        <v>#VALUE!</v>
      </c>
      <c r="JG2" s="291"/>
      <c r="JH2" s="292" t="s">
        <v>1947</v>
      </c>
      <c r="JI2" s="292"/>
      <c r="JJ2" s="293" t="e">
        <f>#VALUE!</f>
        <v>#VALUE!</v>
      </c>
      <c r="JK2" s="286" t="s">
        <v>1945</v>
      </c>
      <c r="JS2" s="287"/>
      <c r="JT2" s="288" t="s">
        <v>1946</v>
      </c>
      <c r="JU2" s="288"/>
      <c r="JV2" s="288"/>
      <c r="JW2" s="288"/>
      <c r="JX2" s="281"/>
      <c r="JY2" s="281"/>
      <c r="JZ2" s="281"/>
      <c r="KA2" s="281"/>
      <c r="KB2" s="281"/>
      <c r="KC2" s="289">
        <f>MAL!HI2</f>
        <v>0</v>
      </c>
      <c r="KD2" s="289"/>
      <c r="KE2" s="289"/>
      <c r="KF2" s="289"/>
      <c r="KG2" s="290">
        <f>MAL!HJ2</f>
        <v>0</v>
      </c>
      <c r="KH2" s="290"/>
      <c r="KI2" s="290"/>
      <c r="KJ2" s="291">
        <f>MAL!HH2</f>
        <v>0</v>
      </c>
      <c r="KK2" s="291"/>
      <c r="KL2" s="292" t="s">
        <v>1947</v>
      </c>
      <c r="KM2" s="292"/>
      <c r="KN2" s="293">
        <f>MAL!HF2</f>
        <v>0</v>
      </c>
      <c r="KO2" s="286" t="s">
        <v>1945</v>
      </c>
      <c r="KW2" s="287"/>
      <c r="KX2" s="288" t="s">
        <v>1946</v>
      </c>
      <c r="KY2" s="288"/>
      <c r="KZ2" s="288"/>
      <c r="LA2" s="288"/>
      <c r="LB2" s="281"/>
      <c r="LC2" s="281"/>
      <c r="LD2" s="281"/>
      <c r="LE2" s="281"/>
      <c r="LF2" s="281"/>
      <c r="LG2" s="289">
        <f>MAL!HI3</f>
        <v>0</v>
      </c>
      <c r="LH2" s="289"/>
      <c r="LI2" s="289"/>
      <c r="LJ2" s="289"/>
      <c r="LK2" s="290">
        <f>MAL!HJ3</f>
        <v>0</v>
      </c>
      <c r="LL2" s="290"/>
      <c r="LM2" s="290"/>
      <c r="LN2" s="291">
        <f>MAL!HH3</f>
        <v>0</v>
      </c>
      <c r="LO2" s="291"/>
      <c r="LP2" s="292" t="s">
        <v>1947</v>
      </c>
      <c r="LQ2" s="292"/>
      <c r="LR2" s="293">
        <f>MAL!HF3</f>
        <v>0</v>
      </c>
      <c r="LS2" s="286" t="s">
        <v>1945</v>
      </c>
      <c r="MA2" s="287"/>
      <c r="MB2" s="288" t="s">
        <v>1946</v>
      </c>
      <c r="MC2" s="288"/>
      <c r="MD2" s="288"/>
      <c r="ME2" s="288"/>
      <c r="MF2" s="281"/>
      <c r="MG2" s="281"/>
      <c r="MH2" s="281"/>
      <c r="MI2" s="281"/>
      <c r="MJ2" s="281"/>
      <c r="MK2" s="289" t="e">
        <f>#VALUE!</f>
        <v>#VALUE!</v>
      </c>
      <c r="ML2" s="289"/>
      <c r="MM2" s="289"/>
      <c r="MN2" s="289"/>
      <c r="MO2" s="290" t="e">
        <f>#VALUE!</f>
        <v>#VALUE!</v>
      </c>
      <c r="MP2" s="290"/>
      <c r="MQ2" s="290"/>
      <c r="MR2" s="291" t="e">
        <f>#VALUE!</f>
        <v>#VALUE!</v>
      </c>
      <c r="MS2" s="291"/>
      <c r="MT2" s="292" t="s">
        <v>1947</v>
      </c>
      <c r="MU2" s="292"/>
      <c r="MV2" s="293" t="e">
        <f>#VALUE!</f>
        <v>#VALUE!</v>
      </c>
      <c r="MW2" s="286" t="s">
        <v>1945</v>
      </c>
      <c r="NE2" s="287"/>
      <c r="NF2" s="288" t="s">
        <v>1946</v>
      </c>
      <c r="NG2" s="288"/>
      <c r="NH2" s="288"/>
      <c r="NI2" s="288"/>
      <c r="NJ2" s="281"/>
      <c r="NK2" s="281"/>
      <c r="NL2" s="281"/>
      <c r="NM2" s="281"/>
      <c r="NN2" s="281"/>
      <c r="NO2" s="289" t="s">
        <v>1948</v>
      </c>
      <c r="NP2" s="289"/>
      <c r="NQ2" s="289"/>
      <c r="NR2" s="289"/>
      <c r="NS2" s="290" t="s">
        <v>1949</v>
      </c>
      <c r="NT2" s="290"/>
      <c r="NU2" s="290"/>
      <c r="NV2" s="291" t="s">
        <v>1950</v>
      </c>
      <c r="NW2" s="291"/>
      <c r="NX2" s="292" t="s">
        <v>1947</v>
      </c>
      <c r="NY2" s="292"/>
      <c r="NZ2" s="293" t="s">
        <v>1951</v>
      </c>
      <c r="OA2" s="286" t="s">
        <v>1945</v>
      </c>
      <c r="OI2" s="287"/>
      <c r="OJ2" s="288" t="s">
        <v>1946</v>
      </c>
      <c r="OK2" s="288"/>
      <c r="OL2" s="288"/>
      <c r="OM2" s="288"/>
      <c r="ON2" s="281"/>
      <c r="OO2" s="281"/>
      <c r="OP2" s="281"/>
      <c r="OQ2" s="281"/>
      <c r="OR2" s="281"/>
      <c r="OS2" s="289" t="s">
        <v>1948</v>
      </c>
      <c r="OT2" s="289"/>
      <c r="OU2" s="289"/>
      <c r="OV2" s="289"/>
      <c r="OW2" s="290" t="s">
        <v>1949</v>
      </c>
      <c r="OX2" s="290"/>
      <c r="OY2" s="290"/>
      <c r="OZ2" s="291" t="s">
        <v>1950</v>
      </c>
      <c r="PA2" s="291"/>
      <c r="PB2" s="292" t="s">
        <v>1947</v>
      </c>
      <c r="PC2" s="292"/>
      <c r="PD2" s="293" t="s">
        <v>1951</v>
      </c>
      <c r="PE2" s="286" t="s">
        <v>1945</v>
      </c>
      <c r="PM2" s="287"/>
      <c r="PN2" s="288" t="s">
        <v>1946</v>
      </c>
      <c r="PO2" s="288"/>
      <c r="PP2" s="288"/>
      <c r="PQ2" s="288"/>
      <c r="PR2" s="281"/>
      <c r="PS2" s="281"/>
      <c r="PT2" s="281"/>
      <c r="PU2" s="281"/>
      <c r="PV2" s="281"/>
      <c r="PW2" s="289">
        <f>MAL!PK2</f>
        <v>0</v>
      </c>
      <c r="PX2" s="289"/>
      <c r="PY2" s="289"/>
      <c r="PZ2" s="289"/>
      <c r="QA2" s="290">
        <f>MAL!PL2</f>
        <v>0</v>
      </c>
      <c r="QB2" s="290"/>
      <c r="QC2" s="290"/>
      <c r="QD2" s="291">
        <f>MAL!PJ2</f>
        <v>0</v>
      </c>
      <c r="QE2" s="291"/>
      <c r="QF2" s="292" t="s">
        <v>1947</v>
      </c>
      <c r="QG2" s="292"/>
      <c r="QH2" s="293">
        <f>MAL!PH2</f>
        <v>0</v>
      </c>
      <c r="QI2" s="286" t="s">
        <v>1945</v>
      </c>
      <c r="QQ2" s="287"/>
      <c r="QR2" s="288" t="s">
        <v>1946</v>
      </c>
      <c r="QS2" s="288"/>
      <c r="QT2" s="288"/>
      <c r="QU2" s="288"/>
      <c r="QV2" s="281"/>
      <c r="QW2" s="281"/>
      <c r="QX2" s="281"/>
      <c r="QY2" s="281"/>
      <c r="QZ2" s="281"/>
      <c r="RA2" s="289" t="e">
        <f>#VALUE!</f>
        <v>#VALUE!</v>
      </c>
      <c r="RB2" s="289"/>
      <c r="RC2" s="289"/>
      <c r="RD2" s="289"/>
      <c r="RE2" s="290" t="e">
        <f>#VALUE!</f>
        <v>#VALUE!</v>
      </c>
      <c r="RF2" s="290"/>
      <c r="RG2" s="290"/>
      <c r="RH2" s="291" t="e">
        <f>#VALUE!</f>
        <v>#VALUE!</v>
      </c>
      <c r="RI2" s="291"/>
      <c r="RJ2" s="292" t="s">
        <v>1947</v>
      </c>
      <c r="RK2" s="292"/>
      <c r="RL2" s="293" t="e">
        <f>#VALUE!</f>
        <v>#VALUE!</v>
      </c>
      <c r="RM2" s="286" t="s">
        <v>1945</v>
      </c>
      <c r="RU2" s="287"/>
      <c r="RV2" s="288" t="s">
        <v>1946</v>
      </c>
      <c r="RW2" s="288"/>
      <c r="RX2" s="288"/>
      <c r="RY2" s="288"/>
      <c r="RZ2" s="281"/>
      <c r="SA2" s="281"/>
      <c r="SB2" s="281"/>
      <c r="SC2" s="281"/>
      <c r="SD2" s="281"/>
      <c r="SE2" s="289">
        <f>MAL!PK2</f>
        <v>0</v>
      </c>
      <c r="SF2" s="289"/>
      <c r="SG2" s="289"/>
      <c r="SH2" s="289"/>
      <c r="SI2" s="290">
        <f>MAL!PL2</f>
        <v>0</v>
      </c>
      <c r="SJ2" s="290"/>
      <c r="SK2" s="290"/>
      <c r="SL2" s="291">
        <f>MAL!PJ2</f>
        <v>0</v>
      </c>
      <c r="SM2" s="291"/>
      <c r="SN2" s="292" t="s">
        <v>1947</v>
      </c>
      <c r="SO2" s="292"/>
      <c r="SP2" s="293">
        <f>MAL!PH2</f>
        <v>0</v>
      </c>
      <c r="SQ2" s="286" t="s">
        <v>1945</v>
      </c>
      <c r="SY2" s="287"/>
      <c r="SZ2" s="288" t="s">
        <v>1946</v>
      </c>
      <c r="TA2" s="288"/>
      <c r="TB2" s="288"/>
      <c r="TC2" s="288"/>
      <c r="TD2" s="281"/>
      <c r="TE2" s="281"/>
      <c r="TF2" s="281"/>
      <c r="TG2" s="281"/>
      <c r="TH2" s="281"/>
      <c r="TI2" s="289">
        <f>MAL!PK3</f>
        <v>0</v>
      </c>
      <c r="TJ2" s="289"/>
      <c r="TK2" s="289"/>
      <c r="TL2" s="289"/>
      <c r="TM2" s="290">
        <f>MAL!PL3</f>
        <v>0</v>
      </c>
      <c r="TN2" s="290"/>
      <c r="TO2" s="290"/>
      <c r="TP2" s="291">
        <f>MAL!PJ3</f>
        <v>0</v>
      </c>
      <c r="TQ2" s="291"/>
      <c r="TR2" s="292" t="s">
        <v>1947</v>
      </c>
      <c r="TS2" s="292"/>
      <c r="TT2" s="293">
        <f>MAL!PH3</f>
        <v>0</v>
      </c>
      <c r="TU2" s="286" t="s">
        <v>1945</v>
      </c>
      <c r="UC2" s="287"/>
      <c r="UD2" s="288" t="s">
        <v>1946</v>
      </c>
      <c r="UE2" s="288"/>
      <c r="UF2" s="288"/>
      <c r="UG2" s="288"/>
      <c r="UH2" s="281"/>
      <c r="UI2" s="281"/>
      <c r="UJ2" s="281"/>
      <c r="UK2" s="281"/>
      <c r="UL2" s="281"/>
      <c r="UM2" s="289" t="e">
        <f>#VALUE!</f>
        <v>#VALUE!</v>
      </c>
      <c r="UN2" s="289"/>
      <c r="UO2" s="289"/>
      <c r="UP2" s="289"/>
      <c r="UQ2" s="290" t="e">
        <f>#VALUE!</f>
        <v>#VALUE!</v>
      </c>
      <c r="UR2" s="290"/>
      <c r="US2" s="290"/>
      <c r="UT2" s="291" t="e">
        <f>#VALUE!</f>
        <v>#VALUE!</v>
      </c>
      <c r="UU2" s="291"/>
      <c r="UV2" s="292" t="s">
        <v>1947</v>
      </c>
      <c r="UW2" s="292"/>
      <c r="UX2" s="293" t="e">
        <f>#VALUE!</f>
        <v>#VALUE!</v>
      </c>
      <c r="UY2" s="286" t="s">
        <v>1945</v>
      </c>
      <c r="VG2" s="287"/>
      <c r="VH2" s="288" t="s">
        <v>1946</v>
      </c>
      <c r="VI2" s="288"/>
      <c r="VJ2" s="288"/>
      <c r="VK2" s="288"/>
      <c r="VL2" s="281"/>
      <c r="VM2" s="281"/>
      <c r="VN2" s="281"/>
      <c r="VO2" s="281"/>
      <c r="VP2" s="281"/>
      <c r="VQ2" s="289" t="s">
        <v>1948</v>
      </c>
      <c r="VR2" s="289"/>
      <c r="VS2" s="289"/>
      <c r="VT2" s="289"/>
      <c r="VU2" s="290" t="s">
        <v>1949</v>
      </c>
      <c r="VV2" s="290"/>
      <c r="VW2" s="290"/>
      <c r="VX2" s="291" t="s">
        <v>1950</v>
      </c>
      <c r="VY2" s="291"/>
      <c r="VZ2" s="292" t="s">
        <v>1947</v>
      </c>
      <c r="WA2" s="292"/>
      <c r="WB2" s="293" t="s">
        <v>1951</v>
      </c>
      <c r="WC2" s="286" t="s">
        <v>1945</v>
      </c>
      <c r="WK2" s="287"/>
      <c r="WL2" s="288" t="s">
        <v>1946</v>
      </c>
      <c r="WM2" s="288"/>
      <c r="WN2" s="288"/>
      <c r="WO2" s="288"/>
      <c r="WP2" s="281"/>
      <c r="WQ2" s="281"/>
      <c r="WR2" s="281"/>
      <c r="WS2" s="281"/>
      <c r="WT2" s="281"/>
      <c r="WU2" s="289" t="s">
        <v>1948</v>
      </c>
      <c r="WV2" s="289"/>
      <c r="WW2" s="289"/>
      <c r="WX2" s="289"/>
      <c r="WY2" s="290" t="s">
        <v>1949</v>
      </c>
      <c r="WZ2" s="290"/>
      <c r="XA2" s="290"/>
      <c r="XB2" s="291" t="s">
        <v>1950</v>
      </c>
      <c r="XC2" s="291"/>
      <c r="XD2" s="292" t="s">
        <v>1947</v>
      </c>
      <c r="XE2" s="292"/>
      <c r="XF2" s="293" t="s">
        <v>1951</v>
      </c>
      <c r="XG2" s="286" t="s">
        <v>1945</v>
      </c>
      <c r="XO2" s="287"/>
      <c r="XP2" s="288" t="s">
        <v>1946</v>
      </c>
      <c r="XQ2" s="288"/>
      <c r="XR2" s="288"/>
      <c r="XS2" s="288"/>
      <c r="XT2" s="281"/>
      <c r="XU2" s="281"/>
      <c r="XV2" s="281"/>
      <c r="XW2" s="281"/>
      <c r="XX2" s="281"/>
      <c r="XY2" s="289">
        <f>MAL!XM2</f>
        <v>0</v>
      </c>
      <c r="XZ2" s="289"/>
      <c r="YA2" s="289"/>
      <c r="YB2" s="289"/>
      <c r="YC2" s="290">
        <f>MAL!XN2</f>
        <v>0</v>
      </c>
      <c r="YD2" s="290"/>
      <c r="YE2" s="290"/>
      <c r="YF2" s="291">
        <f>MAL!XL2</f>
        <v>0</v>
      </c>
      <c r="YG2" s="291"/>
      <c r="YH2" s="292" t="s">
        <v>1947</v>
      </c>
      <c r="YI2" s="292"/>
      <c r="YJ2" s="293">
        <f>MAL!XJ2</f>
        <v>0</v>
      </c>
      <c r="YK2" s="286" t="s">
        <v>1945</v>
      </c>
      <c r="YS2" s="287"/>
      <c r="YT2" s="288" t="s">
        <v>1946</v>
      </c>
      <c r="YU2" s="288"/>
      <c r="YV2" s="288"/>
      <c r="YW2" s="288"/>
      <c r="YX2" s="281"/>
      <c r="YY2" s="281"/>
      <c r="YZ2" s="281"/>
      <c r="ZA2" s="281"/>
      <c r="ZB2" s="281"/>
      <c r="ZC2" s="289" t="e">
        <f>#VALUE!</f>
        <v>#VALUE!</v>
      </c>
      <c r="ZD2" s="289"/>
      <c r="ZE2" s="289"/>
      <c r="ZF2" s="289"/>
      <c r="ZG2" s="290" t="e">
        <f>#VALUE!</f>
        <v>#VALUE!</v>
      </c>
      <c r="ZH2" s="290"/>
      <c r="ZI2" s="290"/>
      <c r="ZJ2" s="291" t="e">
        <f>#VALUE!</f>
        <v>#VALUE!</v>
      </c>
      <c r="ZK2" s="291"/>
      <c r="ZL2" s="292" t="s">
        <v>1947</v>
      </c>
      <c r="ZM2" s="292"/>
      <c r="ZN2" s="293" t="e">
        <f>#VALUE!</f>
        <v>#VALUE!</v>
      </c>
      <c r="ZO2" s="286" t="s">
        <v>1945</v>
      </c>
      <c r="ZW2" s="287"/>
      <c r="ZX2" s="288" t="s">
        <v>1946</v>
      </c>
      <c r="ZY2" s="288"/>
      <c r="ZZ2" s="288"/>
      <c r="AAA2" s="288"/>
      <c r="AAB2" s="281"/>
      <c r="AAC2" s="281"/>
      <c r="AAD2" s="281"/>
      <c r="AAE2" s="281"/>
      <c r="AAF2" s="281"/>
      <c r="AAG2" s="289">
        <f>MAL!XM2</f>
        <v>0</v>
      </c>
      <c r="AAH2" s="289"/>
      <c r="AAI2" s="289"/>
      <c r="AAJ2" s="289"/>
      <c r="AAK2" s="290">
        <f>MAL!XN2</f>
        <v>0</v>
      </c>
      <c r="AAL2" s="290"/>
      <c r="AAM2" s="290"/>
      <c r="AAN2" s="291">
        <f>MAL!XL2</f>
        <v>0</v>
      </c>
      <c r="AAO2" s="291"/>
      <c r="AAP2" s="292" t="s">
        <v>1947</v>
      </c>
      <c r="AAQ2" s="292"/>
      <c r="AAR2" s="293">
        <f>MAL!XJ2</f>
        <v>0</v>
      </c>
      <c r="AAS2" s="286" t="s">
        <v>1945</v>
      </c>
      <c r="ABA2" s="287"/>
      <c r="ABB2" s="288" t="s">
        <v>1946</v>
      </c>
      <c r="ABC2" s="288"/>
      <c r="ABD2" s="288"/>
      <c r="ABE2" s="288"/>
      <c r="ABF2" s="281"/>
      <c r="ABG2" s="281"/>
      <c r="ABH2" s="281"/>
      <c r="ABI2" s="281"/>
      <c r="ABJ2" s="281"/>
      <c r="ABK2" s="289">
        <f>MAL!XM3</f>
        <v>0</v>
      </c>
      <c r="ABL2" s="289"/>
      <c r="ABM2" s="289"/>
      <c r="ABN2" s="289"/>
      <c r="ABO2" s="290">
        <f>MAL!XN3</f>
        <v>0</v>
      </c>
      <c r="ABP2" s="290"/>
      <c r="ABQ2" s="290"/>
      <c r="ABR2" s="291">
        <f>MAL!XL3</f>
        <v>0</v>
      </c>
      <c r="ABS2" s="291"/>
      <c r="ABT2" s="292" t="s">
        <v>1947</v>
      </c>
      <c r="ABU2" s="292"/>
      <c r="ABV2" s="293">
        <f>MAL!XJ3</f>
        <v>0</v>
      </c>
      <c r="ABW2" s="286" t="s">
        <v>1945</v>
      </c>
      <c r="ACE2" s="287"/>
      <c r="ACF2" s="288" t="s">
        <v>1946</v>
      </c>
      <c r="ACG2" s="288"/>
      <c r="ACH2" s="288"/>
      <c r="ACI2" s="288"/>
      <c r="ACJ2" s="281"/>
      <c r="ACK2" s="281"/>
      <c r="ACL2" s="281"/>
      <c r="ACM2" s="281"/>
      <c r="ACN2" s="281"/>
      <c r="ACO2" s="289" t="e">
        <f>#VALUE!</f>
        <v>#VALUE!</v>
      </c>
      <c r="ACP2" s="289"/>
      <c r="ACQ2" s="289"/>
      <c r="ACR2" s="289"/>
      <c r="ACS2" s="290" t="e">
        <f>#VALUE!</f>
        <v>#VALUE!</v>
      </c>
      <c r="ACT2" s="290"/>
      <c r="ACU2" s="290"/>
      <c r="ACV2" s="291" t="e">
        <f>#VALUE!</f>
        <v>#VALUE!</v>
      </c>
      <c r="ACW2" s="291"/>
      <c r="ACX2" s="292" t="s">
        <v>1947</v>
      </c>
      <c r="ACY2" s="292"/>
      <c r="ACZ2" s="293" t="e">
        <f>#VALUE!</f>
        <v>#VALUE!</v>
      </c>
      <c r="ADA2" s="286" t="s">
        <v>1945</v>
      </c>
      <c r="ADI2" s="287"/>
      <c r="ADJ2" s="288" t="s">
        <v>1946</v>
      </c>
      <c r="ADK2" s="288"/>
      <c r="ADL2" s="288"/>
      <c r="ADM2" s="288"/>
      <c r="ADN2" s="281"/>
      <c r="ADO2" s="281"/>
      <c r="ADP2" s="281"/>
      <c r="ADQ2" s="281"/>
      <c r="ADR2" s="281"/>
      <c r="ADS2" s="289" t="s">
        <v>1948</v>
      </c>
      <c r="ADT2" s="289"/>
      <c r="ADU2" s="289"/>
      <c r="ADV2" s="289"/>
      <c r="ADW2" s="290" t="s">
        <v>1949</v>
      </c>
      <c r="ADX2" s="290"/>
      <c r="ADY2" s="290"/>
      <c r="ADZ2" s="291" t="s">
        <v>1950</v>
      </c>
      <c r="AEA2" s="291"/>
      <c r="AEB2" s="292" t="s">
        <v>1947</v>
      </c>
      <c r="AEC2" s="292"/>
      <c r="AED2" s="293" t="s">
        <v>1951</v>
      </c>
      <c r="AEE2" s="286" t="s">
        <v>1945</v>
      </c>
      <c r="AEM2" s="287"/>
      <c r="AEN2" s="288" t="s">
        <v>1946</v>
      </c>
      <c r="AEO2" s="288"/>
      <c r="AEP2" s="288"/>
      <c r="AEQ2" s="288"/>
      <c r="AER2" s="281"/>
      <c r="AES2" s="281"/>
      <c r="AET2" s="281"/>
      <c r="AEU2" s="281"/>
      <c r="AEV2" s="281"/>
      <c r="AEW2" s="289" t="s">
        <v>1948</v>
      </c>
      <c r="AEX2" s="289"/>
      <c r="AEY2" s="289"/>
      <c r="AEZ2" s="289"/>
      <c r="AFA2" s="290" t="s">
        <v>1949</v>
      </c>
      <c r="AFB2" s="290"/>
      <c r="AFC2" s="290"/>
      <c r="AFD2" s="291" t="s">
        <v>1950</v>
      </c>
      <c r="AFE2" s="291"/>
      <c r="AFF2" s="292" t="s">
        <v>1947</v>
      </c>
      <c r="AFG2" s="292"/>
      <c r="AFH2" s="293" t="s">
        <v>1951</v>
      </c>
      <c r="AFI2" s="286" t="s">
        <v>1945</v>
      </c>
      <c r="AFQ2" s="287"/>
      <c r="AFR2" s="288" t="s">
        <v>1946</v>
      </c>
      <c r="AFS2" s="288"/>
      <c r="AFT2" s="288"/>
      <c r="AFU2" s="288"/>
      <c r="AFV2" s="281"/>
      <c r="AFW2" s="281"/>
      <c r="AFX2" s="281"/>
      <c r="AFY2" s="281"/>
      <c r="AFZ2" s="281"/>
      <c r="AGA2" s="289">
        <f>MAL!AFO2</f>
        <v>0</v>
      </c>
      <c r="AGB2" s="289"/>
      <c r="AGC2" s="289"/>
      <c r="AGD2" s="289"/>
      <c r="AGE2" s="290">
        <f>MAL!AFP2</f>
        <v>0</v>
      </c>
      <c r="AGF2" s="290"/>
      <c r="AGG2" s="290"/>
      <c r="AGH2" s="291">
        <f>MAL!AFN2</f>
        <v>0</v>
      </c>
      <c r="AGI2" s="291"/>
      <c r="AGJ2" s="292" t="s">
        <v>1947</v>
      </c>
      <c r="AGK2" s="292"/>
      <c r="AGL2" s="293">
        <f>MAL!AFL2</f>
        <v>0</v>
      </c>
      <c r="AGM2" s="286" t="s">
        <v>1945</v>
      </c>
      <c r="AGU2" s="287"/>
      <c r="AGV2" s="288" t="s">
        <v>1946</v>
      </c>
      <c r="AGW2" s="288"/>
      <c r="AGX2" s="288"/>
      <c r="AGY2" s="288"/>
      <c r="AGZ2" s="281"/>
      <c r="AHA2" s="281"/>
      <c r="AHB2" s="281"/>
      <c r="AHC2" s="281"/>
      <c r="AHD2" s="281"/>
      <c r="AHE2" s="289" t="e">
        <f>#VALUE!</f>
        <v>#VALUE!</v>
      </c>
      <c r="AHF2" s="289"/>
      <c r="AHG2" s="289"/>
      <c r="AHH2" s="289"/>
      <c r="AHI2" s="290" t="e">
        <f>#VALUE!</f>
        <v>#VALUE!</v>
      </c>
      <c r="AHJ2" s="290"/>
      <c r="AHK2" s="290"/>
      <c r="AHL2" s="291" t="e">
        <f>#VALUE!</f>
        <v>#VALUE!</v>
      </c>
      <c r="AHM2" s="291"/>
      <c r="AHN2" s="292" t="s">
        <v>1947</v>
      </c>
      <c r="AHO2" s="292"/>
      <c r="AHP2" s="293" t="e">
        <f>#VALUE!</f>
        <v>#VALUE!</v>
      </c>
      <c r="AHQ2" s="286" t="s">
        <v>1945</v>
      </c>
      <c r="AHY2" s="287"/>
      <c r="AHZ2" s="288" t="s">
        <v>1946</v>
      </c>
      <c r="AIA2" s="288"/>
      <c r="AIB2" s="288"/>
      <c r="AIC2" s="288"/>
      <c r="AID2" s="281"/>
      <c r="AIE2" s="281"/>
      <c r="AIF2" s="281"/>
      <c r="AIG2" s="281"/>
      <c r="AIH2" s="281"/>
      <c r="AII2" s="289">
        <f>MAL!AFO2</f>
        <v>0</v>
      </c>
      <c r="AIJ2" s="289"/>
      <c r="AIK2" s="289"/>
      <c r="AIL2" s="289"/>
      <c r="AIM2" s="290">
        <f>MAL!AFP2</f>
        <v>0</v>
      </c>
      <c r="AIN2" s="290"/>
      <c r="AIO2" s="290"/>
      <c r="AIP2" s="291">
        <f>MAL!AFN2</f>
        <v>0</v>
      </c>
      <c r="AIQ2" s="291"/>
      <c r="AIR2" s="292" t="s">
        <v>1947</v>
      </c>
      <c r="AIS2" s="292"/>
      <c r="AIT2" s="293">
        <f>MAL!AFL2</f>
        <v>0</v>
      </c>
      <c r="AIU2" s="286" t="s">
        <v>1945</v>
      </c>
      <c r="AJC2" s="287"/>
      <c r="AJD2" s="288" t="s">
        <v>1946</v>
      </c>
      <c r="AJE2" s="288"/>
      <c r="AJF2" s="288"/>
      <c r="AJG2" s="288"/>
      <c r="AJH2" s="281"/>
      <c r="AJI2" s="281"/>
      <c r="AJJ2" s="281"/>
      <c r="AJK2" s="281"/>
      <c r="AJL2" s="281"/>
      <c r="AJM2" s="289">
        <f>MAL!AFO3</f>
        <v>0</v>
      </c>
      <c r="AJN2" s="289"/>
      <c r="AJO2" s="289"/>
      <c r="AJP2" s="289"/>
      <c r="AJQ2" s="290">
        <f>MAL!AFP3</f>
        <v>0</v>
      </c>
      <c r="AJR2" s="290"/>
      <c r="AJS2" s="290"/>
      <c r="AJT2" s="291">
        <f>MAL!AFN3</f>
        <v>0</v>
      </c>
      <c r="AJU2" s="291"/>
      <c r="AJV2" s="292" t="s">
        <v>1947</v>
      </c>
      <c r="AJW2" s="292"/>
      <c r="AJX2" s="293">
        <f>MAL!AFL3</f>
        <v>0</v>
      </c>
      <c r="AJY2" s="286" t="s">
        <v>1945</v>
      </c>
      <c r="AKG2" s="287"/>
      <c r="AKH2" s="288" t="s">
        <v>1946</v>
      </c>
      <c r="AKI2" s="288"/>
      <c r="AKJ2" s="288"/>
      <c r="AKK2" s="288"/>
      <c r="AKL2" s="281"/>
      <c r="AKM2" s="281"/>
      <c r="AKN2" s="281"/>
      <c r="AKO2" s="281"/>
      <c r="AKP2" s="281"/>
      <c r="AKQ2" s="289" t="e">
        <f>#VALUE!</f>
        <v>#VALUE!</v>
      </c>
      <c r="AKR2" s="289"/>
      <c r="AKS2" s="289"/>
      <c r="AKT2" s="289"/>
      <c r="AKU2" s="290" t="e">
        <f>#VALUE!</f>
        <v>#VALUE!</v>
      </c>
      <c r="AKV2" s="290"/>
      <c r="AKW2" s="290"/>
      <c r="AKX2" s="291" t="e">
        <f>#VALUE!</f>
        <v>#VALUE!</v>
      </c>
      <c r="AKY2" s="291"/>
      <c r="AKZ2" s="292" t="s">
        <v>1947</v>
      </c>
      <c r="ALA2" s="292"/>
      <c r="ALB2" s="293" t="e">
        <f>#VALUE!</f>
        <v>#VALUE!</v>
      </c>
      <c r="ALC2" s="286" t="s">
        <v>1945</v>
      </c>
      <c r="ALK2" s="287"/>
      <c r="ALL2" s="288" t="s">
        <v>1946</v>
      </c>
      <c r="ALM2" s="288"/>
      <c r="ALN2" s="288"/>
      <c r="ALO2" s="288"/>
      <c r="ALP2" s="281"/>
      <c r="ALQ2" s="281"/>
      <c r="ALR2" s="281"/>
      <c r="ALS2" s="281"/>
      <c r="ALT2" s="281"/>
      <c r="ALU2" s="289" t="s">
        <v>1948</v>
      </c>
      <c r="ALV2" s="289"/>
      <c r="ALW2" s="289"/>
      <c r="ALX2" s="289"/>
      <c r="ALY2" s="290" t="s">
        <v>1949</v>
      </c>
      <c r="ALZ2" s="290"/>
      <c r="AMA2" s="290"/>
      <c r="AMB2" s="291" t="s">
        <v>1950</v>
      </c>
      <c r="AMC2" s="291"/>
      <c r="AMD2" s="292" t="s">
        <v>1947</v>
      </c>
      <c r="AME2" s="292"/>
      <c r="AMF2" s="293" t="s">
        <v>1951</v>
      </c>
      <c r="AMG2" s="286" t="s">
        <v>1945</v>
      </c>
    </row>
    <row r="3" spans="1:1024" ht="15.75" x14ac:dyDescent="0.2">
      <c r="A3" s="295" t="s">
        <v>1952</v>
      </c>
      <c r="I3" s="287"/>
      <c r="J3" s="288"/>
      <c r="K3" s="288"/>
      <c r="L3" s="288"/>
      <c r="M3" s="288"/>
      <c r="N3" s="296" t="s">
        <v>1953</v>
      </c>
      <c r="O3" s="296"/>
      <c r="P3" s="296"/>
      <c r="Q3" s="296"/>
      <c r="R3" s="296"/>
      <c r="S3" s="297" t="s">
        <v>1954</v>
      </c>
      <c r="T3" s="297"/>
      <c r="U3" s="297"/>
      <c r="V3" s="297"/>
      <c r="W3" s="298" t="s">
        <v>1955</v>
      </c>
      <c r="X3" s="298"/>
      <c r="Y3" s="298"/>
      <c r="Z3" s="299" t="s">
        <v>4</v>
      </c>
      <c r="AA3" s="299"/>
      <c r="AB3" s="300"/>
      <c r="AC3" s="300"/>
      <c r="AD3" s="300"/>
      <c r="AE3" s="295" t="s">
        <v>1952</v>
      </c>
      <c r="AM3" s="287"/>
      <c r="AN3" s="288"/>
      <c r="AO3" s="288"/>
      <c r="AP3" s="288"/>
      <c r="AQ3" s="288"/>
      <c r="AR3" s="301" t="s">
        <v>1953</v>
      </c>
      <c r="AS3" s="301"/>
      <c r="AT3" s="301"/>
      <c r="AU3" s="301"/>
      <c r="AV3" s="301"/>
      <c r="AW3" s="297" t="s">
        <v>1954</v>
      </c>
      <c r="AX3" s="297"/>
      <c r="AY3" s="297"/>
      <c r="AZ3" s="297"/>
      <c r="BA3" s="298" t="s">
        <v>1955</v>
      </c>
      <c r="BB3" s="298"/>
      <c r="BC3" s="298"/>
      <c r="BD3" s="299" t="s">
        <v>4</v>
      </c>
      <c r="BE3" s="299"/>
      <c r="BF3" s="300"/>
      <c r="BG3" s="300"/>
      <c r="BH3" s="300"/>
      <c r="BI3" s="295" t="s">
        <v>1952</v>
      </c>
      <c r="BQ3" s="287"/>
      <c r="BR3" s="288"/>
      <c r="BS3" s="288"/>
      <c r="BT3" s="288"/>
      <c r="BU3" s="288"/>
      <c r="BV3" s="301" t="s">
        <v>1953</v>
      </c>
      <c r="BW3" s="301"/>
      <c r="BX3" s="301"/>
      <c r="BY3" s="301"/>
      <c r="BZ3" s="301"/>
      <c r="CA3" s="297" t="s">
        <v>1954</v>
      </c>
      <c r="CB3" s="297"/>
      <c r="CC3" s="297"/>
      <c r="CD3" s="297"/>
      <c r="CE3" s="298" t="s">
        <v>1955</v>
      </c>
      <c r="CF3" s="298"/>
      <c r="CG3" s="298"/>
      <c r="CH3" s="299" t="s">
        <v>4</v>
      </c>
      <c r="CI3" s="299"/>
      <c r="CJ3" s="300"/>
      <c r="CK3" s="300"/>
      <c r="CL3" s="300"/>
      <c r="CM3" s="295" t="s">
        <v>1952</v>
      </c>
      <c r="CU3" s="287"/>
      <c r="CV3" s="288"/>
      <c r="CW3" s="288"/>
      <c r="CX3" s="288"/>
      <c r="CY3" s="288"/>
      <c r="CZ3" s="301" t="s">
        <v>1953</v>
      </c>
      <c r="DA3" s="301"/>
      <c r="DB3" s="301"/>
      <c r="DC3" s="301"/>
      <c r="DD3" s="301"/>
      <c r="DE3" s="297" t="s">
        <v>1954</v>
      </c>
      <c r="DF3" s="297"/>
      <c r="DG3" s="297"/>
      <c r="DH3" s="297"/>
      <c r="DI3" s="298" t="s">
        <v>1955</v>
      </c>
      <c r="DJ3" s="298"/>
      <c r="DK3" s="298"/>
      <c r="DL3" s="299" t="s">
        <v>4</v>
      </c>
      <c r="DM3" s="299"/>
      <c r="DN3" s="300"/>
      <c r="DO3" s="300"/>
      <c r="DP3" s="300"/>
      <c r="DQ3" s="295" t="s">
        <v>1952</v>
      </c>
      <c r="DY3" s="287"/>
      <c r="DZ3" s="288"/>
      <c r="EA3" s="288"/>
      <c r="EB3" s="288"/>
      <c r="EC3" s="288"/>
      <c r="ED3" s="301" t="s">
        <v>1953</v>
      </c>
      <c r="EE3" s="301"/>
      <c r="EF3" s="301"/>
      <c r="EG3" s="301"/>
      <c r="EH3" s="301"/>
      <c r="EI3" s="297" t="s">
        <v>1954</v>
      </c>
      <c r="EJ3" s="297"/>
      <c r="EK3" s="297"/>
      <c r="EL3" s="297"/>
      <c r="EM3" s="298" t="s">
        <v>1955</v>
      </c>
      <c r="EN3" s="298"/>
      <c r="EO3" s="298"/>
      <c r="EP3" s="299" t="s">
        <v>4</v>
      </c>
      <c r="EQ3" s="299"/>
      <c r="ER3" s="300"/>
      <c r="ES3" s="300"/>
      <c r="ET3" s="300"/>
      <c r="EU3" s="295" t="s">
        <v>1952</v>
      </c>
      <c r="FC3" s="287"/>
      <c r="FD3" s="288"/>
      <c r="FE3" s="288"/>
      <c r="FF3" s="288"/>
      <c r="FG3" s="288"/>
      <c r="FH3" s="301" t="s">
        <v>1953</v>
      </c>
      <c r="FI3" s="301"/>
      <c r="FJ3" s="301"/>
      <c r="FK3" s="301"/>
      <c r="FL3" s="301"/>
      <c r="FM3" s="297" t="s">
        <v>1954</v>
      </c>
      <c r="FN3" s="297"/>
      <c r="FO3" s="297"/>
      <c r="FP3" s="297"/>
      <c r="FQ3" s="298" t="s">
        <v>1955</v>
      </c>
      <c r="FR3" s="298"/>
      <c r="FS3" s="298"/>
      <c r="FT3" s="299" t="s">
        <v>4</v>
      </c>
      <c r="FU3" s="299"/>
      <c r="FV3" s="300"/>
      <c r="FW3" s="300"/>
      <c r="FX3" s="300"/>
      <c r="FY3" s="295" t="s">
        <v>1952</v>
      </c>
      <c r="GG3" s="287"/>
      <c r="GH3" s="288"/>
      <c r="GI3" s="288"/>
      <c r="GJ3" s="288"/>
      <c r="GK3" s="288"/>
      <c r="GL3" s="301" t="s">
        <v>1953</v>
      </c>
      <c r="GM3" s="301"/>
      <c r="GN3" s="301"/>
      <c r="GO3" s="301"/>
      <c r="GP3" s="301"/>
      <c r="GQ3" s="297" t="s">
        <v>1954</v>
      </c>
      <c r="GR3" s="297"/>
      <c r="GS3" s="297"/>
      <c r="GT3" s="297"/>
      <c r="GU3" s="298" t="s">
        <v>1955</v>
      </c>
      <c r="GV3" s="298"/>
      <c r="GW3" s="298"/>
      <c r="GX3" s="299" t="s">
        <v>4</v>
      </c>
      <c r="GY3" s="299"/>
      <c r="GZ3" s="300"/>
      <c r="HA3" s="300"/>
      <c r="HB3" s="300"/>
      <c r="HC3" s="295" t="s">
        <v>1952</v>
      </c>
      <c r="HK3" s="287"/>
      <c r="HL3" s="288"/>
      <c r="HM3" s="288"/>
      <c r="HN3" s="288"/>
      <c r="HO3" s="288"/>
      <c r="HP3" s="296" t="s">
        <v>1953</v>
      </c>
      <c r="HQ3" s="296"/>
      <c r="HR3" s="296"/>
      <c r="HS3" s="296"/>
      <c r="HT3" s="296"/>
      <c r="HU3" s="297" t="s">
        <v>1954</v>
      </c>
      <c r="HV3" s="297"/>
      <c r="HW3" s="297"/>
      <c r="HX3" s="297"/>
      <c r="HY3" s="298" t="s">
        <v>1955</v>
      </c>
      <c r="HZ3" s="298"/>
      <c r="IA3" s="298"/>
      <c r="IB3" s="299" t="s">
        <v>4</v>
      </c>
      <c r="IC3" s="299"/>
      <c r="ID3" s="300"/>
      <c r="IE3" s="300"/>
      <c r="IF3" s="300"/>
      <c r="IG3" s="295" t="s">
        <v>1952</v>
      </c>
      <c r="IO3" s="287"/>
      <c r="IP3" s="288"/>
      <c r="IQ3" s="288"/>
      <c r="IR3" s="288"/>
      <c r="IS3" s="288"/>
      <c r="IT3" s="301" t="s">
        <v>1953</v>
      </c>
      <c r="IU3" s="301"/>
      <c r="IV3" s="301"/>
      <c r="IW3" s="301"/>
      <c r="IX3" s="301"/>
      <c r="IY3" s="297" t="s">
        <v>1954</v>
      </c>
      <c r="IZ3" s="297"/>
      <c r="JA3" s="297"/>
      <c r="JB3" s="297"/>
      <c r="JC3" s="298" t="s">
        <v>1955</v>
      </c>
      <c r="JD3" s="298"/>
      <c r="JE3" s="298"/>
      <c r="JF3" s="299" t="s">
        <v>4</v>
      </c>
      <c r="JG3" s="299"/>
      <c r="JH3" s="300"/>
      <c r="JI3" s="300"/>
      <c r="JJ3" s="300"/>
      <c r="JK3" s="295" t="s">
        <v>1952</v>
      </c>
      <c r="JS3" s="287"/>
      <c r="JT3" s="288"/>
      <c r="JU3" s="288"/>
      <c r="JV3" s="288"/>
      <c r="JW3" s="288"/>
      <c r="JX3" s="301" t="s">
        <v>1953</v>
      </c>
      <c r="JY3" s="301"/>
      <c r="JZ3" s="301"/>
      <c r="KA3" s="301"/>
      <c r="KB3" s="301"/>
      <c r="KC3" s="297" t="s">
        <v>1954</v>
      </c>
      <c r="KD3" s="297"/>
      <c r="KE3" s="297"/>
      <c r="KF3" s="297"/>
      <c r="KG3" s="298" t="s">
        <v>1955</v>
      </c>
      <c r="KH3" s="298"/>
      <c r="KI3" s="298"/>
      <c r="KJ3" s="299" t="s">
        <v>4</v>
      </c>
      <c r="KK3" s="299"/>
      <c r="KL3" s="300"/>
      <c r="KM3" s="300"/>
      <c r="KN3" s="300"/>
      <c r="KO3" s="295" t="s">
        <v>1952</v>
      </c>
      <c r="KW3" s="287"/>
      <c r="KX3" s="288"/>
      <c r="KY3" s="288"/>
      <c r="KZ3" s="288"/>
      <c r="LA3" s="288"/>
      <c r="LB3" s="301" t="s">
        <v>1953</v>
      </c>
      <c r="LC3" s="301"/>
      <c r="LD3" s="301"/>
      <c r="LE3" s="301"/>
      <c r="LF3" s="301"/>
      <c r="LG3" s="297" t="s">
        <v>1954</v>
      </c>
      <c r="LH3" s="297"/>
      <c r="LI3" s="297"/>
      <c r="LJ3" s="297"/>
      <c r="LK3" s="298" t="s">
        <v>1955</v>
      </c>
      <c r="LL3" s="298"/>
      <c r="LM3" s="298"/>
      <c r="LN3" s="299" t="s">
        <v>4</v>
      </c>
      <c r="LO3" s="299"/>
      <c r="LP3" s="300"/>
      <c r="LQ3" s="300"/>
      <c r="LR3" s="300"/>
      <c r="LS3" s="295" t="s">
        <v>1952</v>
      </c>
      <c r="MA3" s="287"/>
      <c r="MB3" s="288"/>
      <c r="MC3" s="288"/>
      <c r="MD3" s="288"/>
      <c r="ME3" s="288"/>
      <c r="MF3" s="301" t="s">
        <v>1953</v>
      </c>
      <c r="MG3" s="301"/>
      <c r="MH3" s="301"/>
      <c r="MI3" s="301"/>
      <c r="MJ3" s="301"/>
      <c r="MK3" s="297" t="s">
        <v>1954</v>
      </c>
      <c r="ML3" s="297"/>
      <c r="MM3" s="297"/>
      <c r="MN3" s="297"/>
      <c r="MO3" s="298" t="s">
        <v>1955</v>
      </c>
      <c r="MP3" s="298"/>
      <c r="MQ3" s="298"/>
      <c r="MR3" s="299" t="s">
        <v>4</v>
      </c>
      <c r="MS3" s="299"/>
      <c r="MT3" s="300"/>
      <c r="MU3" s="300"/>
      <c r="MV3" s="300"/>
      <c r="MW3" s="295" t="s">
        <v>1952</v>
      </c>
      <c r="NE3" s="287"/>
      <c r="NF3" s="288"/>
      <c r="NG3" s="288"/>
      <c r="NH3" s="288"/>
      <c r="NI3" s="288"/>
      <c r="NJ3" s="301" t="s">
        <v>1953</v>
      </c>
      <c r="NK3" s="301"/>
      <c r="NL3" s="301"/>
      <c r="NM3" s="301"/>
      <c r="NN3" s="301"/>
      <c r="NO3" s="297" t="s">
        <v>1954</v>
      </c>
      <c r="NP3" s="297"/>
      <c r="NQ3" s="297"/>
      <c r="NR3" s="297"/>
      <c r="NS3" s="298" t="s">
        <v>1955</v>
      </c>
      <c r="NT3" s="298"/>
      <c r="NU3" s="298"/>
      <c r="NV3" s="299" t="s">
        <v>4</v>
      </c>
      <c r="NW3" s="299"/>
      <c r="NX3" s="300"/>
      <c r="NY3" s="300"/>
      <c r="NZ3" s="300"/>
      <c r="OA3" s="295" t="s">
        <v>1952</v>
      </c>
      <c r="OI3" s="287"/>
      <c r="OJ3" s="288"/>
      <c r="OK3" s="288"/>
      <c r="OL3" s="288"/>
      <c r="OM3" s="288"/>
      <c r="ON3" s="301" t="s">
        <v>1953</v>
      </c>
      <c r="OO3" s="301"/>
      <c r="OP3" s="301"/>
      <c r="OQ3" s="301"/>
      <c r="OR3" s="301"/>
      <c r="OS3" s="297" t="s">
        <v>1954</v>
      </c>
      <c r="OT3" s="297"/>
      <c r="OU3" s="297"/>
      <c r="OV3" s="297"/>
      <c r="OW3" s="298" t="s">
        <v>1955</v>
      </c>
      <c r="OX3" s="298"/>
      <c r="OY3" s="298"/>
      <c r="OZ3" s="299" t="s">
        <v>4</v>
      </c>
      <c r="PA3" s="299"/>
      <c r="PB3" s="300"/>
      <c r="PC3" s="300"/>
      <c r="PD3" s="300"/>
      <c r="PE3" s="295" t="s">
        <v>1952</v>
      </c>
      <c r="PM3" s="287"/>
      <c r="PN3" s="288"/>
      <c r="PO3" s="288"/>
      <c r="PP3" s="288"/>
      <c r="PQ3" s="288"/>
      <c r="PR3" s="296" t="s">
        <v>1953</v>
      </c>
      <c r="PS3" s="296"/>
      <c r="PT3" s="296"/>
      <c r="PU3" s="296"/>
      <c r="PV3" s="296"/>
      <c r="PW3" s="297" t="s">
        <v>1954</v>
      </c>
      <c r="PX3" s="297"/>
      <c r="PY3" s="297"/>
      <c r="PZ3" s="297"/>
      <c r="QA3" s="298" t="s">
        <v>1955</v>
      </c>
      <c r="QB3" s="298"/>
      <c r="QC3" s="298"/>
      <c r="QD3" s="299" t="s">
        <v>4</v>
      </c>
      <c r="QE3" s="299"/>
      <c r="QF3" s="300"/>
      <c r="QG3" s="300"/>
      <c r="QH3" s="300"/>
      <c r="QI3" s="295" t="s">
        <v>1952</v>
      </c>
      <c r="QQ3" s="287"/>
      <c r="QR3" s="288"/>
      <c r="QS3" s="288"/>
      <c r="QT3" s="288"/>
      <c r="QU3" s="288"/>
      <c r="QV3" s="301" t="s">
        <v>1953</v>
      </c>
      <c r="QW3" s="301"/>
      <c r="QX3" s="301"/>
      <c r="QY3" s="301"/>
      <c r="QZ3" s="301"/>
      <c r="RA3" s="297" t="s">
        <v>1954</v>
      </c>
      <c r="RB3" s="297"/>
      <c r="RC3" s="297"/>
      <c r="RD3" s="297"/>
      <c r="RE3" s="298" t="s">
        <v>1955</v>
      </c>
      <c r="RF3" s="298"/>
      <c r="RG3" s="298"/>
      <c r="RH3" s="299" t="s">
        <v>4</v>
      </c>
      <c r="RI3" s="299"/>
      <c r="RJ3" s="300"/>
      <c r="RK3" s="300"/>
      <c r="RL3" s="300"/>
      <c r="RM3" s="295" t="s">
        <v>1952</v>
      </c>
      <c r="RU3" s="287"/>
      <c r="RV3" s="288"/>
      <c r="RW3" s="288"/>
      <c r="RX3" s="288"/>
      <c r="RY3" s="288"/>
      <c r="RZ3" s="301" t="s">
        <v>1953</v>
      </c>
      <c r="SA3" s="301"/>
      <c r="SB3" s="301"/>
      <c r="SC3" s="301"/>
      <c r="SD3" s="301"/>
      <c r="SE3" s="297" t="s">
        <v>1954</v>
      </c>
      <c r="SF3" s="297"/>
      <c r="SG3" s="297"/>
      <c r="SH3" s="297"/>
      <c r="SI3" s="298" t="s">
        <v>1955</v>
      </c>
      <c r="SJ3" s="298"/>
      <c r="SK3" s="298"/>
      <c r="SL3" s="299" t="s">
        <v>4</v>
      </c>
      <c r="SM3" s="299"/>
      <c r="SN3" s="300"/>
      <c r="SO3" s="300"/>
      <c r="SP3" s="300"/>
      <c r="SQ3" s="295" t="s">
        <v>1952</v>
      </c>
      <c r="SY3" s="287"/>
      <c r="SZ3" s="288"/>
      <c r="TA3" s="288"/>
      <c r="TB3" s="288"/>
      <c r="TC3" s="288"/>
      <c r="TD3" s="301" t="s">
        <v>1953</v>
      </c>
      <c r="TE3" s="301"/>
      <c r="TF3" s="301"/>
      <c r="TG3" s="301"/>
      <c r="TH3" s="301"/>
      <c r="TI3" s="297" t="s">
        <v>1954</v>
      </c>
      <c r="TJ3" s="297"/>
      <c r="TK3" s="297"/>
      <c r="TL3" s="297"/>
      <c r="TM3" s="298" t="s">
        <v>1955</v>
      </c>
      <c r="TN3" s="298"/>
      <c r="TO3" s="298"/>
      <c r="TP3" s="299" t="s">
        <v>4</v>
      </c>
      <c r="TQ3" s="299"/>
      <c r="TR3" s="300"/>
      <c r="TS3" s="300"/>
      <c r="TT3" s="300"/>
      <c r="TU3" s="295" t="s">
        <v>1952</v>
      </c>
      <c r="UC3" s="287"/>
      <c r="UD3" s="288"/>
      <c r="UE3" s="288"/>
      <c r="UF3" s="288"/>
      <c r="UG3" s="288"/>
      <c r="UH3" s="301" t="s">
        <v>1953</v>
      </c>
      <c r="UI3" s="301"/>
      <c r="UJ3" s="301"/>
      <c r="UK3" s="301"/>
      <c r="UL3" s="301"/>
      <c r="UM3" s="297" t="s">
        <v>1954</v>
      </c>
      <c r="UN3" s="297"/>
      <c r="UO3" s="297"/>
      <c r="UP3" s="297"/>
      <c r="UQ3" s="298" t="s">
        <v>1955</v>
      </c>
      <c r="UR3" s="298"/>
      <c r="US3" s="298"/>
      <c r="UT3" s="299" t="s">
        <v>4</v>
      </c>
      <c r="UU3" s="299"/>
      <c r="UV3" s="300"/>
      <c r="UW3" s="300"/>
      <c r="UX3" s="300"/>
      <c r="UY3" s="295" t="s">
        <v>1952</v>
      </c>
      <c r="VG3" s="287"/>
      <c r="VH3" s="288"/>
      <c r="VI3" s="288"/>
      <c r="VJ3" s="288"/>
      <c r="VK3" s="288"/>
      <c r="VL3" s="301" t="s">
        <v>1953</v>
      </c>
      <c r="VM3" s="301"/>
      <c r="VN3" s="301"/>
      <c r="VO3" s="301"/>
      <c r="VP3" s="301"/>
      <c r="VQ3" s="297" t="s">
        <v>1954</v>
      </c>
      <c r="VR3" s="297"/>
      <c r="VS3" s="297"/>
      <c r="VT3" s="297"/>
      <c r="VU3" s="298" t="s">
        <v>1955</v>
      </c>
      <c r="VV3" s="298"/>
      <c r="VW3" s="298"/>
      <c r="VX3" s="299" t="s">
        <v>4</v>
      </c>
      <c r="VY3" s="299"/>
      <c r="VZ3" s="300"/>
      <c r="WA3" s="300"/>
      <c r="WB3" s="300"/>
      <c r="WC3" s="295" t="s">
        <v>1952</v>
      </c>
      <c r="WK3" s="287"/>
      <c r="WL3" s="288"/>
      <c r="WM3" s="288"/>
      <c r="WN3" s="288"/>
      <c r="WO3" s="288"/>
      <c r="WP3" s="301" t="s">
        <v>1953</v>
      </c>
      <c r="WQ3" s="301"/>
      <c r="WR3" s="301"/>
      <c r="WS3" s="301"/>
      <c r="WT3" s="301"/>
      <c r="WU3" s="297" t="s">
        <v>1954</v>
      </c>
      <c r="WV3" s="297"/>
      <c r="WW3" s="297"/>
      <c r="WX3" s="297"/>
      <c r="WY3" s="298" t="s">
        <v>1955</v>
      </c>
      <c r="WZ3" s="298"/>
      <c r="XA3" s="298"/>
      <c r="XB3" s="299" t="s">
        <v>4</v>
      </c>
      <c r="XC3" s="299"/>
      <c r="XD3" s="300"/>
      <c r="XE3" s="300"/>
      <c r="XF3" s="300"/>
      <c r="XG3" s="295" t="s">
        <v>1952</v>
      </c>
      <c r="XO3" s="287"/>
      <c r="XP3" s="288"/>
      <c r="XQ3" s="288"/>
      <c r="XR3" s="288"/>
      <c r="XS3" s="288"/>
      <c r="XT3" s="296" t="s">
        <v>1953</v>
      </c>
      <c r="XU3" s="296"/>
      <c r="XV3" s="296"/>
      <c r="XW3" s="296"/>
      <c r="XX3" s="296"/>
      <c r="XY3" s="297" t="s">
        <v>1954</v>
      </c>
      <c r="XZ3" s="297"/>
      <c r="YA3" s="297"/>
      <c r="YB3" s="297"/>
      <c r="YC3" s="298" t="s">
        <v>1955</v>
      </c>
      <c r="YD3" s="298"/>
      <c r="YE3" s="298"/>
      <c r="YF3" s="299" t="s">
        <v>4</v>
      </c>
      <c r="YG3" s="299"/>
      <c r="YH3" s="300"/>
      <c r="YI3" s="300"/>
      <c r="YJ3" s="300"/>
      <c r="YK3" s="295" t="s">
        <v>1952</v>
      </c>
      <c r="YS3" s="287"/>
      <c r="YT3" s="288"/>
      <c r="YU3" s="288"/>
      <c r="YV3" s="288"/>
      <c r="YW3" s="288"/>
      <c r="YX3" s="301" t="s">
        <v>1953</v>
      </c>
      <c r="YY3" s="301"/>
      <c r="YZ3" s="301"/>
      <c r="ZA3" s="301"/>
      <c r="ZB3" s="301"/>
      <c r="ZC3" s="297" t="s">
        <v>1954</v>
      </c>
      <c r="ZD3" s="297"/>
      <c r="ZE3" s="297"/>
      <c r="ZF3" s="297"/>
      <c r="ZG3" s="298" t="s">
        <v>1955</v>
      </c>
      <c r="ZH3" s="298"/>
      <c r="ZI3" s="298"/>
      <c r="ZJ3" s="299" t="s">
        <v>4</v>
      </c>
      <c r="ZK3" s="299"/>
      <c r="ZL3" s="300"/>
      <c r="ZM3" s="300"/>
      <c r="ZN3" s="300"/>
      <c r="ZO3" s="295" t="s">
        <v>1952</v>
      </c>
      <c r="ZW3" s="287"/>
      <c r="ZX3" s="288"/>
      <c r="ZY3" s="288"/>
      <c r="ZZ3" s="288"/>
      <c r="AAA3" s="288"/>
      <c r="AAB3" s="301" t="s">
        <v>1953</v>
      </c>
      <c r="AAC3" s="301"/>
      <c r="AAD3" s="301"/>
      <c r="AAE3" s="301"/>
      <c r="AAF3" s="301"/>
      <c r="AAG3" s="297" t="s">
        <v>1954</v>
      </c>
      <c r="AAH3" s="297"/>
      <c r="AAI3" s="297"/>
      <c r="AAJ3" s="297"/>
      <c r="AAK3" s="298" t="s">
        <v>1955</v>
      </c>
      <c r="AAL3" s="298"/>
      <c r="AAM3" s="298"/>
      <c r="AAN3" s="299" t="s">
        <v>4</v>
      </c>
      <c r="AAO3" s="299"/>
      <c r="AAP3" s="300"/>
      <c r="AAQ3" s="300"/>
      <c r="AAR3" s="300"/>
      <c r="AAS3" s="295" t="s">
        <v>1952</v>
      </c>
      <c r="ABA3" s="287"/>
      <c r="ABB3" s="288"/>
      <c r="ABC3" s="288"/>
      <c r="ABD3" s="288"/>
      <c r="ABE3" s="288"/>
      <c r="ABF3" s="301" t="s">
        <v>1953</v>
      </c>
      <c r="ABG3" s="301"/>
      <c r="ABH3" s="301"/>
      <c r="ABI3" s="301"/>
      <c r="ABJ3" s="301"/>
      <c r="ABK3" s="297" t="s">
        <v>1954</v>
      </c>
      <c r="ABL3" s="297"/>
      <c r="ABM3" s="297"/>
      <c r="ABN3" s="297"/>
      <c r="ABO3" s="298" t="s">
        <v>1955</v>
      </c>
      <c r="ABP3" s="298"/>
      <c r="ABQ3" s="298"/>
      <c r="ABR3" s="299" t="s">
        <v>4</v>
      </c>
      <c r="ABS3" s="299"/>
      <c r="ABT3" s="300"/>
      <c r="ABU3" s="300"/>
      <c r="ABV3" s="300"/>
      <c r="ABW3" s="295" t="s">
        <v>1952</v>
      </c>
      <c r="ACE3" s="287"/>
      <c r="ACF3" s="288"/>
      <c r="ACG3" s="288"/>
      <c r="ACH3" s="288"/>
      <c r="ACI3" s="288"/>
      <c r="ACJ3" s="301" t="s">
        <v>1953</v>
      </c>
      <c r="ACK3" s="301"/>
      <c r="ACL3" s="301"/>
      <c r="ACM3" s="301"/>
      <c r="ACN3" s="301"/>
      <c r="ACO3" s="297" t="s">
        <v>1954</v>
      </c>
      <c r="ACP3" s="297"/>
      <c r="ACQ3" s="297"/>
      <c r="ACR3" s="297"/>
      <c r="ACS3" s="298" t="s">
        <v>1955</v>
      </c>
      <c r="ACT3" s="298"/>
      <c r="ACU3" s="298"/>
      <c r="ACV3" s="299" t="s">
        <v>4</v>
      </c>
      <c r="ACW3" s="299"/>
      <c r="ACX3" s="300"/>
      <c r="ACY3" s="300"/>
      <c r="ACZ3" s="300"/>
      <c r="ADA3" s="295" t="s">
        <v>1952</v>
      </c>
      <c r="ADI3" s="287"/>
      <c r="ADJ3" s="288"/>
      <c r="ADK3" s="288"/>
      <c r="ADL3" s="288"/>
      <c r="ADM3" s="288"/>
      <c r="ADN3" s="301" t="s">
        <v>1953</v>
      </c>
      <c r="ADO3" s="301"/>
      <c r="ADP3" s="301"/>
      <c r="ADQ3" s="301"/>
      <c r="ADR3" s="301"/>
      <c r="ADS3" s="297" t="s">
        <v>1954</v>
      </c>
      <c r="ADT3" s="297"/>
      <c r="ADU3" s="297"/>
      <c r="ADV3" s="297"/>
      <c r="ADW3" s="298" t="s">
        <v>1955</v>
      </c>
      <c r="ADX3" s="298"/>
      <c r="ADY3" s="298"/>
      <c r="ADZ3" s="299" t="s">
        <v>4</v>
      </c>
      <c r="AEA3" s="299"/>
      <c r="AEB3" s="300"/>
      <c r="AEC3" s="300"/>
      <c r="AED3" s="300"/>
      <c r="AEE3" s="295" t="s">
        <v>1952</v>
      </c>
      <c r="AEM3" s="287"/>
      <c r="AEN3" s="288"/>
      <c r="AEO3" s="288"/>
      <c r="AEP3" s="288"/>
      <c r="AEQ3" s="288"/>
      <c r="AER3" s="301" t="s">
        <v>1953</v>
      </c>
      <c r="AES3" s="301"/>
      <c r="AET3" s="301"/>
      <c r="AEU3" s="301"/>
      <c r="AEV3" s="301"/>
      <c r="AEW3" s="297" t="s">
        <v>1954</v>
      </c>
      <c r="AEX3" s="297"/>
      <c r="AEY3" s="297"/>
      <c r="AEZ3" s="297"/>
      <c r="AFA3" s="298" t="s">
        <v>1955</v>
      </c>
      <c r="AFB3" s="298"/>
      <c r="AFC3" s="298"/>
      <c r="AFD3" s="299" t="s">
        <v>4</v>
      </c>
      <c r="AFE3" s="299"/>
      <c r="AFF3" s="300"/>
      <c r="AFG3" s="300"/>
      <c r="AFH3" s="300"/>
      <c r="AFI3" s="295" t="s">
        <v>1952</v>
      </c>
      <c r="AFQ3" s="287"/>
      <c r="AFR3" s="288"/>
      <c r="AFS3" s="288"/>
      <c r="AFT3" s="288"/>
      <c r="AFU3" s="288"/>
      <c r="AFV3" s="296" t="s">
        <v>1953</v>
      </c>
      <c r="AFW3" s="296"/>
      <c r="AFX3" s="296"/>
      <c r="AFY3" s="296"/>
      <c r="AFZ3" s="296"/>
      <c r="AGA3" s="297" t="s">
        <v>1954</v>
      </c>
      <c r="AGB3" s="297"/>
      <c r="AGC3" s="297"/>
      <c r="AGD3" s="297"/>
      <c r="AGE3" s="298" t="s">
        <v>1955</v>
      </c>
      <c r="AGF3" s="298"/>
      <c r="AGG3" s="298"/>
      <c r="AGH3" s="299" t="s">
        <v>4</v>
      </c>
      <c r="AGI3" s="299"/>
      <c r="AGJ3" s="300"/>
      <c r="AGK3" s="300"/>
      <c r="AGL3" s="300"/>
      <c r="AGM3" s="295" t="s">
        <v>1952</v>
      </c>
      <c r="AGU3" s="287"/>
      <c r="AGV3" s="288"/>
      <c r="AGW3" s="288"/>
      <c r="AGX3" s="288"/>
      <c r="AGY3" s="288"/>
      <c r="AGZ3" s="301" t="s">
        <v>1953</v>
      </c>
      <c r="AHA3" s="301"/>
      <c r="AHB3" s="301"/>
      <c r="AHC3" s="301"/>
      <c r="AHD3" s="301"/>
      <c r="AHE3" s="297" t="s">
        <v>1954</v>
      </c>
      <c r="AHF3" s="297"/>
      <c r="AHG3" s="297"/>
      <c r="AHH3" s="297"/>
      <c r="AHI3" s="298" t="s">
        <v>1955</v>
      </c>
      <c r="AHJ3" s="298"/>
      <c r="AHK3" s="298"/>
      <c r="AHL3" s="299" t="s">
        <v>4</v>
      </c>
      <c r="AHM3" s="299"/>
      <c r="AHN3" s="300"/>
      <c r="AHO3" s="300"/>
      <c r="AHP3" s="300"/>
      <c r="AHQ3" s="295" t="s">
        <v>1952</v>
      </c>
      <c r="AHY3" s="287"/>
      <c r="AHZ3" s="288"/>
      <c r="AIA3" s="288"/>
      <c r="AIB3" s="288"/>
      <c r="AIC3" s="288"/>
      <c r="AID3" s="301" t="s">
        <v>1953</v>
      </c>
      <c r="AIE3" s="301"/>
      <c r="AIF3" s="301"/>
      <c r="AIG3" s="301"/>
      <c r="AIH3" s="301"/>
      <c r="AII3" s="297" t="s">
        <v>1954</v>
      </c>
      <c r="AIJ3" s="297"/>
      <c r="AIK3" s="297"/>
      <c r="AIL3" s="297"/>
      <c r="AIM3" s="298" t="s">
        <v>1955</v>
      </c>
      <c r="AIN3" s="298"/>
      <c r="AIO3" s="298"/>
      <c r="AIP3" s="299" t="s">
        <v>4</v>
      </c>
      <c r="AIQ3" s="299"/>
      <c r="AIR3" s="300"/>
      <c r="AIS3" s="300"/>
      <c r="AIT3" s="300"/>
      <c r="AIU3" s="295" t="s">
        <v>1952</v>
      </c>
      <c r="AJC3" s="287"/>
      <c r="AJD3" s="288"/>
      <c r="AJE3" s="288"/>
      <c r="AJF3" s="288"/>
      <c r="AJG3" s="288"/>
      <c r="AJH3" s="301" t="s">
        <v>1953</v>
      </c>
      <c r="AJI3" s="301"/>
      <c r="AJJ3" s="301"/>
      <c r="AJK3" s="301"/>
      <c r="AJL3" s="301"/>
      <c r="AJM3" s="297" t="s">
        <v>1954</v>
      </c>
      <c r="AJN3" s="297"/>
      <c r="AJO3" s="297"/>
      <c r="AJP3" s="297"/>
      <c r="AJQ3" s="298" t="s">
        <v>1955</v>
      </c>
      <c r="AJR3" s="298"/>
      <c r="AJS3" s="298"/>
      <c r="AJT3" s="299" t="s">
        <v>4</v>
      </c>
      <c r="AJU3" s="299"/>
      <c r="AJV3" s="300"/>
      <c r="AJW3" s="300"/>
      <c r="AJX3" s="300"/>
      <c r="AJY3" s="295" t="s">
        <v>1952</v>
      </c>
      <c r="AKG3" s="287"/>
      <c r="AKH3" s="288"/>
      <c r="AKI3" s="288"/>
      <c r="AKJ3" s="288"/>
      <c r="AKK3" s="288"/>
      <c r="AKL3" s="301" t="s">
        <v>1953</v>
      </c>
      <c r="AKM3" s="301"/>
      <c r="AKN3" s="301"/>
      <c r="AKO3" s="301"/>
      <c r="AKP3" s="301"/>
      <c r="AKQ3" s="297" t="s">
        <v>1954</v>
      </c>
      <c r="AKR3" s="297"/>
      <c r="AKS3" s="297"/>
      <c r="AKT3" s="297"/>
      <c r="AKU3" s="298" t="s">
        <v>1955</v>
      </c>
      <c r="AKV3" s="298"/>
      <c r="AKW3" s="298"/>
      <c r="AKX3" s="299" t="s">
        <v>4</v>
      </c>
      <c r="AKY3" s="299"/>
      <c r="AKZ3" s="300"/>
      <c r="ALA3" s="300"/>
      <c r="ALB3" s="300"/>
      <c r="ALC3" s="295" t="s">
        <v>1952</v>
      </c>
      <c r="ALK3" s="287"/>
      <c r="ALL3" s="288"/>
      <c r="ALM3" s="288"/>
      <c r="ALN3" s="288"/>
      <c r="ALO3" s="288"/>
      <c r="ALP3" s="301" t="s">
        <v>1953</v>
      </c>
      <c r="ALQ3" s="301"/>
      <c r="ALR3" s="301"/>
      <c r="ALS3" s="301"/>
      <c r="ALT3" s="301"/>
      <c r="ALU3" s="297" t="s">
        <v>1954</v>
      </c>
      <c r="ALV3" s="297"/>
      <c r="ALW3" s="297"/>
      <c r="ALX3" s="297"/>
      <c r="ALY3" s="298" t="s">
        <v>1955</v>
      </c>
      <c r="ALZ3" s="298"/>
      <c r="AMA3" s="298"/>
      <c r="AMB3" s="299" t="s">
        <v>4</v>
      </c>
      <c r="AMC3" s="299"/>
      <c r="AMD3" s="300"/>
      <c r="AME3" s="300"/>
      <c r="AMF3" s="300"/>
      <c r="AMG3" s="295" t="s">
        <v>1952</v>
      </c>
    </row>
    <row r="4" spans="1:1024" ht="33.75" x14ac:dyDescent="0.2">
      <c r="A4" s="302" t="s">
        <v>1956</v>
      </c>
      <c r="B4" s="302"/>
      <c r="C4" s="284" t="s">
        <v>1957</v>
      </c>
      <c r="I4" s="303" t="s">
        <v>1958</v>
      </c>
      <c r="J4" s="303"/>
      <c r="K4" s="303"/>
      <c r="L4" s="303"/>
      <c r="M4" s="303"/>
      <c r="N4" s="303"/>
      <c r="O4" s="303"/>
      <c r="P4" s="303"/>
      <c r="Q4" s="303" t="s">
        <v>1959</v>
      </c>
      <c r="R4" s="303"/>
      <c r="S4" s="303"/>
      <c r="T4" s="303"/>
      <c r="U4" s="303"/>
      <c r="V4" s="303"/>
      <c r="W4" s="303"/>
      <c r="X4" s="303" t="s">
        <v>1960</v>
      </c>
      <c r="Y4" s="303"/>
      <c r="Z4" s="303"/>
      <c r="AA4" s="303"/>
      <c r="AB4" s="284" t="s">
        <v>1961</v>
      </c>
      <c r="AE4" s="304" t="s">
        <v>1956</v>
      </c>
      <c r="AF4" s="304"/>
      <c r="AG4" s="284" t="s">
        <v>1957</v>
      </c>
      <c r="AM4" s="284" t="s">
        <v>1958</v>
      </c>
      <c r="AU4" s="284" t="s">
        <v>1959</v>
      </c>
      <c r="BB4" s="284" t="s">
        <v>1960</v>
      </c>
      <c r="BF4" s="284" t="s">
        <v>1961</v>
      </c>
      <c r="BI4" s="304" t="s">
        <v>1956</v>
      </c>
      <c r="BJ4" s="304"/>
      <c r="BK4" s="284" t="s">
        <v>1957</v>
      </c>
      <c r="BQ4" s="284" t="s">
        <v>1958</v>
      </c>
      <c r="BY4" s="284" t="s">
        <v>1959</v>
      </c>
      <c r="CF4" s="284" t="s">
        <v>1960</v>
      </c>
      <c r="CJ4" s="284" t="s">
        <v>1961</v>
      </c>
      <c r="CM4" s="304" t="s">
        <v>1956</v>
      </c>
      <c r="CN4" s="304"/>
      <c r="CO4" s="284" t="s">
        <v>1957</v>
      </c>
      <c r="CU4" s="284" t="s">
        <v>1958</v>
      </c>
      <c r="DC4" s="284" t="s">
        <v>1959</v>
      </c>
      <c r="DJ4" s="284" t="s">
        <v>1960</v>
      </c>
      <c r="DN4" s="284" t="s">
        <v>1961</v>
      </c>
      <c r="DQ4" s="304" t="s">
        <v>1956</v>
      </c>
      <c r="DR4" s="304"/>
      <c r="DS4" s="284" t="s">
        <v>1957</v>
      </c>
      <c r="DY4" s="284" t="s">
        <v>1958</v>
      </c>
      <c r="EG4" s="284" t="s">
        <v>1959</v>
      </c>
      <c r="EN4" s="284" t="s">
        <v>1960</v>
      </c>
      <c r="ER4" s="284" t="s">
        <v>1961</v>
      </c>
      <c r="EU4" s="304" t="s">
        <v>1956</v>
      </c>
      <c r="EV4" s="304"/>
      <c r="EW4" s="284" t="s">
        <v>1957</v>
      </c>
      <c r="FC4" s="284" t="s">
        <v>1958</v>
      </c>
      <c r="FK4" s="284" t="s">
        <v>1959</v>
      </c>
      <c r="FR4" s="284" t="s">
        <v>1960</v>
      </c>
      <c r="FV4" s="284" t="s">
        <v>1961</v>
      </c>
      <c r="FY4" s="304" t="s">
        <v>1956</v>
      </c>
      <c r="FZ4" s="304"/>
      <c r="GA4" s="284" t="s">
        <v>1957</v>
      </c>
      <c r="GG4" s="284" t="s">
        <v>1958</v>
      </c>
      <c r="GO4" s="284" t="s">
        <v>1959</v>
      </c>
      <c r="GV4" s="284" t="s">
        <v>1960</v>
      </c>
      <c r="GZ4" s="284" t="s">
        <v>1961</v>
      </c>
      <c r="HC4" s="302" t="s">
        <v>1956</v>
      </c>
      <c r="HD4" s="302"/>
      <c r="HE4" s="284" t="s">
        <v>1957</v>
      </c>
      <c r="HK4" s="303" t="s">
        <v>1958</v>
      </c>
      <c r="HL4" s="303"/>
      <c r="HM4" s="303"/>
      <c r="HN4" s="303"/>
      <c r="HO4" s="303"/>
      <c r="HP4" s="303"/>
      <c r="HQ4" s="303"/>
      <c r="HR4" s="303"/>
      <c r="HS4" s="303" t="s">
        <v>1959</v>
      </c>
      <c r="HT4" s="303"/>
      <c r="HU4" s="303"/>
      <c r="HV4" s="303"/>
      <c r="HW4" s="303"/>
      <c r="HX4" s="303"/>
      <c r="HY4" s="303"/>
      <c r="HZ4" s="303" t="s">
        <v>1960</v>
      </c>
      <c r="IA4" s="303"/>
      <c r="IB4" s="303"/>
      <c r="IC4" s="303"/>
      <c r="ID4" s="284" t="s">
        <v>1961</v>
      </c>
      <c r="IG4" s="304" t="s">
        <v>1956</v>
      </c>
      <c r="IH4" s="304"/>
      <c r="II4" s="284" t="s">
        <v>1957</v>
      </c>
      <c r="IO4" s="284" t="s">
        <v>1958</v>
      </c>
      <c r="IW4" s="284" t="s">
        <v>1959</v>
      </c>
      <c r="JD4" s="284" t="s">
        <v>1960</v>
      </c>
      <c r="JH4" s="284" t="s">
        <v>1961</v>
      </c>
      <c r="JK4" s="304" t="s">
        <v>1956</v>
      </c>
      <c r="JL4" s="304"/>
      <c r="JM4" s="284" t="s">
        <v>1957</v>
      </c>
      <c r="JS4" s="284" t="s">
        <v>1958</v>
      </c>
      <c r="KA4" s="284" t="s">
        <v>1959</v>
      </c>
      <c r="KH4" s="284" t="s">
        <v>1960</v>
      </c>
      <c r="KL4" s="284" t="s">
        <v>1961</v>
      </c>
      <c r="KO4" s="304" t="s">
        <v>1956</v>
      </c>
      <c r="KP4" s="304"/>
      <c r="KQ4" s="284" t="s">
        <v>1957</v>
      </c>
      <c r="KW4" s="284" t="s">
        <v>1958</v>
      </c>
      <c r="LE4" s="284" t="s">
        <v>1959</v>
      </c>
      <c r="LL4" s="284" t="s">
        <v>1960</v>
      </c>
      <c r="LP4" s="284" t="s">
        <v>1961</v>
      </c>
      <c r="LS4" s="304" t="s">
        <v>1956</v>
      </c>
      <c r="LT4" s="304"/>
      <c r="LU4" s="284" t="s">
        <v>1957</v>
      </c>
      <c r="MA4" s="284" t="s">
        <v>1958</v>
      </c>
      <c r="MI4" s="284" t="s">
        <v>1959</v>
      </c>
      <c r="MP4" s="284" t="s">
        <v>1960</v>
      </c>
      <c r="MT4" s="284" t="s">
        <v>1961</v>
      </c>
      <c r="MW4" s="304" t="s">
        <v>1956</v>
      </c>
      <c r="MX4" s="304"/>
      <c r="MY4" s="284" t="s">
        <v>1957</v>
      </c>
      <c r="NE4" s="284" t="s">
        <v>1958</v>
      </c>
      <c r="NM4" s="284" t="s">
        <v>1959</v>
      </c>
      <c r="NT4" s="284" t="s">
        <v>1960</v>
      </c>
      <c r="NX4" s="284" t="s">
        <v>1961</v>
      </c>
      <c r="OA4" s="304" t="s">
        <v>1956</v>
      </c>
      <c r="OB4" s="304"/>
      <c r="OC4" s="284" t="s">
        <v>1957</v>
      </c>
      <c r="OI4" s="284" t="s">
        <v>1958</v>
      </c>
      <c r="OQ4" s="284" t="s">
        <v>1959</v>
      </c>
      <c r="OX4" s="284" t="s">
        <v>1960</v>
      </c>
      <c r="PB4" s="284" t="s">
        <v>1961</v>
      </c>
      <c r="PE4" s="302" t="s">
        <v>1956</v>
      </c>
      <c r="PF4" s="302"/>
      <c r="PG4" s="284" t="s">
        <v>1957</v>
      </c>
      <c r="PM4" s="303" t="s">
        <v>1958</v>
      </c>
      <c r="PN4" s="303"/>
      <c r="PO4" s="303"/>
      <c r="PP4" s="303"/>
      <c r="PQ4" s="303"/>
      <c r="PR4" s="303"/>
      <c r="PS4" s="303"/>
      <c r="PT4" s="303"/>
      <c r="PU4" s="303" t="s">
        <v>1959</v>
      </c>
      <c r="PV4" s="303"/>
      <c r="PW4" s="303"/>
      <c r="PX4" s="303"/>
      <c r="PY4" s="303"/>
      <c r="PZ4" s="303"/>
      <c r="QA4" s="303"/>
      <c r="QB4" s="303" t="s">
        <v>1960</v>
      </c>
      <c r="QC4" s="303"/>
      <c r="QD4" s="303"/>
      <c r="QE4" s="303"/>
      <c r="QF4" s="284" t="s">
        <v>1961</v>
      </c>
      <c r="QI4" s="304" t="s">
        <v>1956</v>
      </c>
      <c r="QJ4" s="304"/>
      <c r="QK4" s="284" t="s">
        <v>1957</v>
      </c>
      <c r="QQ4" s="284" t="s">
        <v>1958</v>
      </c>
      <c r="QY4" s="284" t="s">
        <v>1959</v>
      </c>
      <c r="RF4" s="284" t="s">
        <v>1960</v>
      </c>
      <c r="RJ4" s="284" t="s">
        <v>1961</v>
      </c>
      <c r="RM4" s="304" t="s">
        <v>1956</v>
      </c>
      <c r="RN4" s="304"/>
      <c r="RO4" s="284" t="s">
        <v>1957</v>
      </c>
      <c r="RU4" s="284" t="s">
        <v>1958</v>
      </c>
      <c r="SC4" s="284" t="s">
        <v>1959</v>
      </c>
      <c r="SJ4" s="284" t="s">
        <v>1960</v>
      </c>
      <c r="SN4" s="284" t="s">
        <v>1961</v>
      </c>
      <c r="SQ4" s="304" t="s">
        <v>1956</v>
      </c>
      <c r="SR4" s="304"/>
      <c r="SS4" s="284" t="s">
        <v>1957</v>
      </c>
      <c r="SY4" s="284" t="s">
        <v>1958</v>
      </c>
      <c r="TG4" s="284" t="s">
        <v>1959</v>
      </c>
      <c r="TN4" s="284" t="s">
        <v>1960</v>
      </c>
      <c r="TR4" s="284" t="s">
        <v>1961</v>
      </c>
      <c r="TU4" s="304" t="s">
        <v>1956</v>
      </c>
      <c r="TV4" s="304"/>
      <c r="TW4" s="284" t="s">
        <v>1957</v>
      </c>
      <c r="UC4" s="284" t="s">
        <v>1958</v>
      </c>
      <c r="UK4" s="284" t="s">
        <v>1959</v>
      </c>
      <c r="UR4" s="284" t="s">
        <v>1960</v>
      </c>
      <c r="UV4" s="284" t="s">
        <v>1961</v>
      </c>
      <c r="UY4" s="304" t="s">
        <v>1956</v>
      </c>
      <c r="UZ4" s="304"/>
      <c r="VA4" s="284" t="s">
        <v>1957</v>
      </c>
      <c r="VG4" s="284" t="s">
        <v>1958</v>
      </c>
      <c r="VO4" s="284" t="s">
        <v>1959</v>
      </c>
      <c r="VV4" s="284" t="s">
        <v>1960</v>
      </c>
      <c r="VZ4" s="284" t="s">
        <v>1961</v>
      </c>
      <c r="WC4" s="304" t="s">
        <v>1956</v>
      </c>
      <c r="WD4" s="304"/>
      <c r="WE4" s="284" t="s">
        <v>1957</v>
      </c>
      <c r="WK4" s="284" t="s">
        <v>1958</v>
      </c>
      <c r="WS4" s="284" t="s">
        <v>1959</v>
      </c>
      <c r="WZ4" s="284" t="s">
        <v>1960</v>
      </c>
      <c r="XD4" s="284" t="s">
        <v>1961</v>
      </c>
      <c r="XG4" s="302" t="s">
        <v>1956</v>
      </c>
      <c r="XH4" s="302"/>
      <c r="XI4" s="284" t="s">
        <v>1957</v>
      </c>
      <c r="XO4" s="303" t="s">
        <v>1958</v>
      </c>
      <c r="XP4" s="303"/>
      <c r="XQ4" s="303"/>
      <c r="XR4" s="303"/>
      <c r="XS4" s="303"/>
      <c r="XT4" s="303"/>
      <c r="XU4" s="303"/>
      <c r="XV4" s="303"/>
      <c r="XW4" s="303" t="s">
        <v>1959</v>
      </c>
      <c r="XX4" s="303"/>
      <c r="XY4" s="303"/>
      <c r="XZ4" s="303"/>
      <c r="YA4" s="303"/>
      <c r="YB4" s="303"/>
      <c r="YC4" s="303"/>
      <c r="YD4" s="303" t="s">
        <v>1960</v>
      </c>
      <c r="YE4" s="303"/>
      <c r="YF4" s="303"/>
      <c r="YG4" s="303"/>
      <c r="YH4" s="284" t="s">
        <v>1961</v>
      </c>
      <c r="YK4" s="304" t="s">
        <v>1956</v>
      </c>
      <c r="YL4" s="304"/>
      <c r="YM4" s="284" t="s">
        <v>1957</v>
      </c>
      <c r="YS4" s="284" t="s">
        <v>1958</v>
      </c>
      <c r="ZA4" s="284" t="s">
        <v>1959</v>
      </c>
      <c r="ZH4" s="284" t="s">
        <v>1960</v>
      </c>
      <c r="ZL4" s="284" t="s">
        <v>1961</v>
      </c>
      <c r="ZO4" s="304" t="s">
        <v>1956</v>
      </c>
      <c r="ZP4" s="304"/>
      <c r="ZQ4" s="284" t="s">
        <v>1957</v>
      </c>
      <c r="ZW4" s="284" t="s">
        <v>1958</v>
      </c>
      <c r="AAE4" s="284" t="s">
        <v>1959</v>
      </c>
      <c r="AAL4" s="284" t="s">
        <v>1960</v>
      </c>
      <c r="AAP4" s="284" t="s">
        <v>1961</v>
      </c>
      <c r="AAS4" s="304" t="s">
        <v>1956</v>
      </c>
      <c r="AAT4" s="304"/>
      <c r="AAU4" s="284" t="s">
        <v>1957</v>
      </c>
      <c r="ABA4" s="284" t="s">
        <v>1958</v>
      </c>
      <c r="ABI4" s="284" t="s">
        <v>1959</v>
      </c>
      <c r="ABP4" s="284" t="s">
        <v>1960</v>
      </c>
      <c r="ABT4" s="284" t="s">
        <v>1961</v>
      </c>
      <c r="ABW4" s="304" t="s">
        <v>1956</v>
      </c>
      <c r="ABX4" s="304"/>
      <c r="ABY4" s="284" t="s">
        <v>1957</v>
      </c>
      <c r="ACE4" s="284" t="s">
        <v>1958</v>
      </c>
      <c r="ACM4" s="284" t="s">
        <v>1959</v>
      </c>
      <c r="ACT4" s="284" t="s">
        <v>1960</v>
      </c>
      <c r="ACX4" s="284" t="s">
        <v>1961</v>
      </c>
      <c r="ADA4" s="304" t="s">
        <v>1956</v>
      </c>
      <c r="ADB4" s="304"/>
      <c r="ADC4" s="284" t="s">
        <v>1957</v>
      </c>
      <c r="ADI4" s="284" t="s">
        <v>1958</v>
      </c>
      <c r="ADQ4" s="284" t="s">
        <v>1959</v>
      </c>
      <c r="ADX4" s="284" t="s">
        <v>1960</v>
      </c>
      <c r="AEB4" s="284" t="s">
        <v>1961</v>
      </c>
      <c r="AEE4" s="304" t="s">
        <v>1956</v>
      </c>
      <c r="AEF4" s="304"/>
      <c r="AEG4" s="284" t="s">
        <v>1957</v>
      </c>
      <c r="AEM4" s="284" t="s">
        <v>1958</v>
      </c>
      <c r="AEU4" s="284" t="s">
        <v>1959</v>
      </c>
      <c r="AFB4" s="284" t="s">
        <v>1960</v>
      </c>
      <c r="AFF4" s="284" t="s">
        <v>1961</v>
      </c>
      <c r="AFI4" s="302" t="s">
        <v>1956</v>
      </c>
      <c r="AFJ4" s="302"/>
      <c r="AFK4" s="284" t="s">
        <v>1957</v>
      </c>
      <c r="AFQ4" s="303" t="s">
        <v>1958</v>
      </c>
      <c r="AFR4" s="303"/>
      <c r="AFS4" s="303"/>
      <c r="AFT4" s="303"/>
      <c r="AFU4" s="303"/>
      <c r="AFV4" s="303"/>
      <c r="AFW4" s="303"/>
      <c r="AFX4" s="303"/>
      <c r="AFY4" s="303" t="s">
        <v>1959</v>
      </c>
      <c r="AFZ4" s="303"/>
      <c r="AGA4" s="303"/>
      <c r="AGB4" s="303"/>
      <c r="AGC4" s="303"/>
      <c r="AGD4" s="303"/>
      <c r="AGE4" s="303"/>
      <c r="AGF4" s="303" t="s">
        <v>1960</v>
      </c>
      <c r="AGG4" s="303"/>
      <c r="AGH4" s="303"/>
      <c r="AGI4" s="303"/>
      <c r="AGJ4" s="284" t="s">
        <v>1961</v>
      </c>
      <c r="AGM4" s="304" t="s">
        <v>1956</v>
      </c>
      <c r="AGN4" s="304"/>
      <c r="AGO4" s="284" t="s">
        <v>1957</v>
      </c>
      <c r="AGU4" s="284" t="s">
        <v>1958</v>
      </c>
      <c r="AHC4" s="284" t="s">
        <v>1959</v>
      </c>
      <c r="AHJ4" s="284" t="s">
        <v>1960</v>
      </c>
      <c r="AHN4" s="284" t="s">
        <v>1961</v>
      </c>
      <c r="AHQ4" s="304" t="s">
        <v>1956</v>
      </c>
      <c r="AHR4" s="304"/>
      <c r="AHS4" s="284" t="s">
        <v>1957</v>
      </c>
      <c r="AHY4" s="284" t="s">
        <v>1958</v>
      </c>
      <c r="AIG4" s="284" t="s">
        <v>1959</v>
      </c>
      <c r="AIN4" s="284" t="s">
        <v>1960</v>
      </c>
      <c r="AIR4" s="284" t="s">
        <v>1961</v>
      </c>
      <c r="AIU4" s="304" t="s">
        <v>1956</v>
      </c>
      <c r="AIV4" s="304"/>
      <c r="AIW4" s="284" t="s">
        <v>1957</v>
      </c>
      <c r="AJC4" s="284" t="s">
        <v>1958</v>
      </c>
      <c r="AJK4" s="284" t="s">
        <v>1959</v>
      </c>
      <c r="AJR4" s="284" t="s">
        <v>1960</v>
      </c>
      <c r="AJV4" s="284" t="s">
        <v>1961</v>
      </c>
      <c r="AJY4" s="304" t="s">
        <v>1956</v>
      </c>
      <c r="AJZ4" s="304"/>
      <c r="AKA4" s="284" t="s">
        <v>1957</v>
      </c>
      <c r="AKG4" s="284" t="s">
        <v>1958</v>
      </c>
      <c r="AKO4" s="284" t="s">
        <v>1959</v>
      </c>
      <c r="AKV4" s="284" t="s">
        <v>1960</v>
      </c>
      <c r="AKZ4" s="284" t="s">
        <v>1961</v>
      </c>
      <c r="ALC4" s="304" t="s">
        <v>1956</v>
      </c>
      <c r="ALD4" s="304"/>
      <c r="ALE4" s="284" t="s">
        <v>1957</v>
      </c>
      <c r="ALK4" s="284" t="s">
        <v>1958</v>
      </c>
      <c r="ALS4" s="284" t="s">
        <v>1959</v>
      </c>
      <c r="ALZ4" s="284" t="s">
        <v>1960</v>
      </c>
      <c r="AMD4" s="284" t="s">
        <v>1961</v>
      </c>
      <c r="AMG4" s="304" t="s">
        <v>1956</v>
      </c>
      <c r="AMH4" s="304"/>
      <c r="AMI4" s="279" t="s">
        <v>1957</v>
      </c>
      <c r="AMJ4" s="279"/>
    </row>
    <row r="5" spans="1:1024" x14ac:dyDescent="0.2">
      <c r="A5" s="302"/>
      <c r="B5" s="302"/>
      <c r="C5" s="305"/>
      <c r="D5" s="305"/>
      <c r="E5" s="305"/>
      <c r="F5" s="305"/>
      <c r="G5" s="305"/>
      <c r="H5" s="305"/>
      <c r="I5" s="306"/>
      <c r="J5" s="306"/>
      <c r="K5" s="306"/>
      <c r="L5" s="306"/>
      <c r="M5" s="306"/>
      <c r="N5" s="306"/>
      <c r="O5" s="306"/>
      <c r="P5" s="306"/>
      <c r="Q5" s="307"/>
      <c r="R5" s="307"/>
      <c r="S5" s="307"/>
      <c r="T5" s="307"/>
      <c r="U5" s="307"/>
      <c r="V5" s="307"/>
      <c r="W5" s="307"/>
      <c r="AE5" s="304"/>
      <c r="AF5" s="304"/>
      <c r="AM5" s="309"/>
      <c r="AN5" s="309"/>
      <c r="AO5" s="309"/>
      <c r="AP5" s="309"/>
      <c r="AQ5" s="309"/>
      <c r="AR5" s="309"/>
      <c r="AS5" s="309"/>
      <c r="AT5" s="309"/>
      <c r="BI5" s="304"/>
      <c r="BJ5" s="304"/>
      <c r="BQ5" s="309"/>
      <c r="BR5" s="309"/>
      <c r="BS5" s="309"/>
      <c r="BT5" s="309"/>
      <c r="BU5" s="309"/>
      <c r="BV5" s="309"/>
      <c r="BW5" s="309"/>
      <c r="BX5" s="309"/>
      <c r="CM5" s="304"/>
      <c r="CN5" s="304"/>
      <c r="CU5" s="309"/>
      <c r="CV5" s="309"/>
      <c r="CW5" s="309"/>
      <c r="CX5" s="309"/>
      <c r="CY5" s="309"/>
      <c r="CZ5" s="309"/>
      <c r="DA5" s="309"/>
      <c r="DB5" s="309"/>
      <c r="DQ5" s="304"/>
      <c r="DR5" s="304"/>
      <c r="DY5" s="309"/>
      <c r="DZ5" s="309"/>
      <c r="EA5" s="309"/>
      <c r="EB5" s="309"/>
      <c r="EC5" s="309"/>
      <c r="ED5" s="309"/>
      <c r="EE5" s="309"/>
      <c r="EF5" s="309"/>
      <c r="EU5" s="304"/>
      <c r="EV5" s="304"/>
      <c r="FC5" s="309"/>
      <c r="FD5" s="309"/>
      <c r="FE5" s="309"/>
      <c r="FF5" s="309"/>
      <c r="FG5" s="309"/>
      <c r="FH5" s="309"/>
      <c r="FI5" s="309"/>
      <c r="FJ5" s="309"/>
      <c r="FY5" s="304"/>
      <c r="FZ5" s="304"/>
      <c r="GG5" s="309"/>
      <c r="GH5" s="309"/>
      <c r="GI5" s="309"/>
      <c r="GJ5" s="309"/>
      <c r="GK5" s="309"/>
      <c r="GL5" s="309"/>
      <c r="GM5" s="309"/>
      <c r="GN5" s="309"/>
      <c r="HC5" s="302"/>
      <c r="HD5" s="302"/>
      <c r="HE5" s="305"/>
      <c r="HF5" s="305"/>
      <c r="HG5" s="305"/>
      <c r="HH5" s="305"/>
      <c r="HI5" s="305"/>
      <c r="HJ5" s="305"/>
      <c r="HK5" s="306"/>
      <c r="HL5" s="306"/>
      <c r="HM5" s="306"/>
      <c r="HN5" s="306"/>
      <c r="HO5" s="306"/>
      <c r="HP5" s="306"/>
      <c r="HQ5" s="306"/>
      <c r="HR5" s="306"/>
      <c r="HS5" s="307"/>
      <c r="HT5" s="307"/>
      <c r="HU5" s="307"/>
      <c r="HV5" s="307"/>
      <c r="HW5" s="307"/>
      <c r="HX5" s="307"/>
      <c r="HY5" s="307"/>
      <c r="IG5" s="304"/>
      <c r="IH5" s="304"/>
      <c r="IO5" s="309"/>
      <c r="IP5" s="309"/>
      <c r="IQ5" s="309"/>
      <c r="IR5" s="309"/>
      <c r="IS5" s="309"/>
      <c r="IT5" s="309"/>
      <c r="IU5" s="309"/>
      <c r="IV5" s="309"/>
      <c r="JK5" s="304"/>
      <c r="JL5" s="304"/>
      <c r="JS5" s="309"/>
      <c r="JT5" s="309"/>
      <c r="JU5" s="309"/>
      <c r="JV5" s="309"/>
      <c r="JW5" s="309"/>
      <c r="JX5" s="309"/>
      <c r="JY5" s="309"/>
      <c r="JZ5" s="309"/>
      <c r="KO5" s="304"/>
      <c r="KP5" s="304"/>
      <c r="KW5" s="309"/>
      <c r="KX5" s="309"/>
      <c r="KY5" s="309"/>
      <c r="KZ5" s="309"/>
      <c r="LA5" s="309"/>
      <c r="LB5" s="309"/>
      <c r="LC5" s="309"/>
      <c r="LD5" s="309"/>
      <c r="LS5" s="304"/>
      <c r="LT5" s="304"/>
      <c r="MA5" s="309"/>
      <c r="MB5" s="309"/>
      <c r="MC5" s="309"/>
      <c r="MD5" s="309"/>
      <c r="ME5" s="309"/>
      <c r="MF5" s="309"/>
      <c r="MG5" s="309"/>
      <c r="MH5" s="309"/>
      <c r="MW5" s="304"/>
      <c r="MX5" s="304"/>
      <c r="NE5" s="309"/>
      <c r="NF5" s="309"/>
      <c r="NG5" s="309"/>
      <c r="NH5" s="309"/>
      <c r="NI5" s="309"/>
      <c r="NJ5" s="309"/>
      <c r="NK5" s="309"/>
      <c r="NL5" s="309"/>
      <c r="OA5" s="304"/>
      <c r="OB5" s="304"/>
      <c r="OI5" s="309"/>
      <c r="OJ5" s="309"/>
      <c r="OK5" s="309"/>
      <c r="OL5" s="309"/>
      <c r="OM5" s="309"/>
      <c r="ON5" s="309"/>
      <c r="OO5" s="309"/>
      <c r="OP5" s="309"/>
      <c r="PE5" s="302"/>
      <c r="PF5" s="302"/>
      <c r="PG5" s="305"/>
      <c r="PH5" s="305"/>
      <c r="PI5" s="305"/>
      <c r="PJ5" s="305"/>
      <c r="PK5" s="305"/>
      <c r="PL5" s="305"/>
      <c r="PM5" s="306"/>
      <c r="PN5" s="306"/>
      <c r="PO5" s="306"/>
      <c r="PP5" s="306"/>
      <c r="PQ5" s="306"/>
      <c r="PR5" s="306"/>
      <c r="PS5" s="306"/>
      <c r="PT5" s="306"/>
      <c r="PU5" s="307"/>
      <c r="PV5" s="307"/>
      <c r="PW5" s="307"/>
      <c r="PX5" s="307"/>
      <c r="PY5" s="307"/>
      <c r="PZ5" s="307"/>
      <c r="QA5" s="307"/>
      <c r="QI5" s="304"/>
      <c r="QJ5" s="304"/>
      <c r="QQ5" s="309"/>
      <c r="QR5" s="309"/>
      <c r="QS5" s="309"/>
      <c r="QT5" s="309"/>
      <c r="QU5" s="309"/>
      <c r="QV5" s="309"/>
      <c r="QW5" s="309"/>
      <c r="QX5" s="309"/>
      <c r="RM5" s="304"/>
      <c r="RN5" s="304"/>
      <c r="RU5" s="309"/>
      <c r="RV5" s="309"/>
      <c r="RW5" s="309"/>
      <c r="RX5" s="309"/>
      <c r="RY5" s="309"/>
      <c r="RZ5" s="309"/>
      <c r="SA5" s="309"/>
      <c r="SB5" s="309"/>
      <c r="SQ5" s="304"/>
      <c r="SR5" s="304"/>
      <c r="SY5" s="309"/>
      <c r="SZ5" s="309"/>
      <c r="TA5" s="309"/>
      <c r="TB5" s="309"/>
      <c r="TC5" s="309"/>
      <c r="TD5" s="309"/>
      <c r="TE5" s="309"/>
      <c r="TF5" s="309"/>
      <c r="TU5" s="304"/>
      <c r="TV5" s="304"/>
      <c r="UC5" s="309"/>
      <c r="UD5" s="309"/>
      <c r="UE5" s="309"/>
      <c r="UF5" s="309"/>
      <c r="UG5" s="309"/>
      <c r="UH5" s="309"/>
      <c r="UI5" s="309"/>
      <c r="UJ5" s="309"/>
      <c r="UY5" s="304"/>
      <c r="UZ5" s="304"/>
      <c r="VG5" s="309"/>
      <c r="VH5" s="309"/>
      <c r="VI5" s="309"/>
      <c r="VJ5" s="309"/>
      <c r="VK5" s="309"/>
      <c r="VL5" s="309"/>
      <c r="VM5" s="309"/>
      <c r="VN5" s="309"/>
      <c r="WC5" s="304"/>
      <c r="WD5" s="304"/>
      <c r="WK5" s="309"/>
      <c r="WL5" s="309"/>
      <c r="WM5" s="309"/>
      <c r="WN5" s="309"/>
      <c r="WO5" s="309"/>
      <c r="WP5" s="309"/>
      <c r="WQ5" s="309"/>
      <c r="WR5" s="309"/>
      <c r="XG5" s="302"/>
      <c r="XH5" s="302"/>
      <c r="XI5" s="305"/>
      <c r="XJ5" s="305"/>
      <c r="XK5" s="305"/>
      <c r="XL5" s="305"/>
      <c r="XM5" s="305"/>
      <c r="XN5" s="305"/>
      <c r="XO5" s="306"/>
      <c r="XP5" s="306"/>
      <c r="XQ5" s="306"/>
      <c r="XR5" s="306"/>
      <c r="XS5" s="306"/>
      <c r="XT5" s="306"/>
      <c r="XU5" s="306"/>
      <c r="XV5" s="306"/>
      <c r="XW5" s="307"/>
      <c r="XX5" s="307"/>
      <c r="XY5" s="307"/>
      <c r="XZ5" s="307"/>
      <c r="YA5" s="307"/>
      <c r="YB5" s="307"/>
      <c r="YC5" s="307"/>
      <c r="YK5" s="304"/>
      <c r="YL5" s="304"/>
      <c r="YS5" s="309"/>
      <c r="YT5" s="309"/>
      <c r="YU5" s="309"/>
      <c r="YV5" s="309"/>
      <c r="YW5" s="309"/>
      <c r="YX5" s="309"/>
      <c r="YY5" s="309"/>
      <c r="YZ5" s="309"/>
      <c r="ZO5" s="304"/>
      <c r="ZP5" s="304"/>
      <c r="ZW5" s="309"/>
      <c r="ZX5" s="309"/>
      <c r="ZY5" s="309"/>
      <c r="ZZ5" s="309"/>
      <c r="AAA5" s="309"/>
      <c r="AAB5" s="309"/>
      <c r="AAC5" s="309"/>
      <c r="AAD5" s="309"/>
      <c r="AAS5" s="304"/>
      <c r="AAT5" s="304"/>
      <c r="ABA5" s="309"/>
      <c r="ABB5" s="309"/>
      <c r="ABC5" s="309"/>
      <c r="ABD5" s="309"/>
      <c r="ABE5" s="309"/>
      <c r="ABF5" s="309"/>
      <c r="ABG5" s="309"/>
      <c r="ABH5" s="309"/>
      <c r="ABW5" s="304"/>
      <c r="ABX5" s="304"/>
      <c r="ACE5" s="309"/>
      <c r="ACF5" s="309"/>
      <c r="ACG5" s="309"/>
      <c r="ACH5" s="309"/>
      <c r="ACI5" s="309"/>
      <c r="ACJ5" s="309"/>
      <c r="ACK5" s="309"/>
      <c r="ACL5" s="309"/>
      <c r="ADA5" s="304"/>
      <c r="ADB5" s="304"/>
      <c r="ADI5" s="309"/>
      <c r="ADJ5" s="309"/>
      <c r="ADK5" s="309"/>
      <c r="ADL5" s="309"/>
      <c r="ADM5" s="309"/>
      <c r="ADN5" s="309"/>
      <c r="ADO5" s="309"/>
      <c r="ADP5" s="309"/>
      <c r="AEE5" s="304"/>
      <c r="AEF5" s="304"/>
      <c r="AEM5" s="309"/>
      <c r="AEN5" s="309"/>
      <c r="AEO5" s="309"/>
      <c r="AEP5" s="309"/>
      <c r="AEQ5" s="309"/>
      <c r="AER5" s="309"/>
      <c r="AES5" s="309"/>
      <c r="AET5" s="309"/>
      <c r="AFI5" s="302"/>
      <c r="AFJ5" s="302"/>
      <c r="AFK5" s="305"/>
      <c r="AFL5" s="305"/>
      <c r="AFM5" s="305"/>
      <c r="AFN5" s="305"/>
      <c r="AFO5" s="305"/>
      <c r="AFP5" s="305"/>
      <c r="AFQ5" s="306"/>
      <c r="AFR5" s="306"/>
      <c r="AFS5" s="306"/>
      <c r="AFT5" s="306"/>
      <c r="AFU5" s="306"/>
      <c r="AFV5" s="306"/>
      <c r="AFW5" s="306"/>
      <c r="AFX5" s="306"/>
      <c r="AFY5" s="307"/>
      <c r="AFZ5" s="307"/>
      <c r="AGA5" s="307"/>
      <c r="AGB5" s="307"/>
      <c r="AGC5" s="307"/>
      <c r="AGD5" s="307"/>
      <c r="AGE5" s="307"/>
      <c r="AGM5" s="304"/>
      <c r="AGN5" s="304"/>
      <c r="AGU5" s="309"/>
      <c r="AGV5" s="309"/>
      <c r="AGW5" s="309"/>
      <c r="AGX5" s="309"/>
      <c r="AGY5" s="309"/>
      <c r="AGZ5" s="309"/>
      <c r="AHA5" s="309"/>
      <c r="AHB5" s="309"/>
      <c r="AHQ5" s="304"/>
      <c r="AHR5" s="304"/>
      <c r="AHY5" s="309"/>
      <c r="AHZ5" s="309"/>
      <c r="AIA5" s="309"/>
      <c r="AIB5" s="309"/>
      <c r="AIC5" s="309"/>
      <c r="AID5" s="309"/>
      <c r="AIE5" s="309"/>
      <c r="AIF5" s="309"/>
      <c r="AIU5" s="304"/>
      <c r="AIV5" s="304"/>
      <c r="AJC5" s="309"/>
      <c r="AJD5" s="309"/>
      <c r="AJE5" s="309"/>
      <c r="AJF5" s="309"/>
      <c r="AJG5" s="309"/>
      <c r="AJH5" s="309"/>
      <c r="AJI5" s="309"/>
      <c r="AJJ5" s="309"/>
      <c r="AJY5" s="304"/>
      <c r="AJZ5" s="304"/>
      <c r="AKG5" s="309"/>
      <c r="AKH5" s="309"/>
      <c r="AKI5" s="309"/>
      <c r="AKJ5" s="309"/>
      <c r="AKK5" s="309"/>
      <c r="AKL5" s="309"/>
      <c r="AKM5" s="309"/>
      <c r="AKN5" s="309"/>
      <c r="ALC5" s="304"/>
      <c r="ALD5" s="304"/>
      <c r="ALK5" s="309"/>
      <c r="ALL5" s="309"/>
      <c r="ALM5" s="309"/>
      <c r="ALN5" s="309"/>
      <c r="ALO5" s="309"/>
      <c r="ALP5" s="309"/>
      <c r="ALQ5" s="309"/>
      <c r="ALR5" s="309"/>
      <c r="AMG5" s="304"/>
      <c r="AMH5" s="304"/>
      <c r="AMI5" s="310"/>
      <c r="AMJ5" s="310"/>
    </row>
    <row r="6" spans="1:1024" x14ac:dyDescent="0.2">
      <c r="A6" s="311" t="s">
        <v>1962</v>
      </c>
      <c r="B6" s="311"/>
      <c r="C6" s="311"/>
      <c r="D6" s="311"/>
      <c r="E6" s="311"/>
      <c r="F6" s="311"/>
      <c r="G6" s="311"/>
      <c r="H6" s="312" t="s">
        <v>1963</v>
      </c>
      <c r="U6" s="313"/>
      <c r="V6" s="314" t="s">
        <v>1964</v>
      </c>
      <c r="W6" s="314" t="s">
        <v>1965</v>
      </c>
      <c r="X6" s="315" t="s">
        <v>1966</v>
      </c>
      <c r="Y6" s="316" t="s">
        <v>1967</v>
      </c>
      <c r="Z6" s="303" t="s">
        <v>1961</v>
      </c>
      <c r="AA6" s="303"/>
      <c r="AB6" s="303"/>
      <c r="AC6" s="303"/>
      <c r="AD6" s="303"/>
      <c r="AE6" s="312" t="s">
        <v>1962</v>
      </c>
      <c r="AL6" s="312" t="s">
        <v>1963</v>
      </c>
      <c r="AY6" s="313"/>
      <c r="AZ6" s="314" t="s">
        <v>1964</v>
      </c>
      <c r="BA6" s="314" t="s">
        <v>1965</v>
      </c>
      <c r="BB6" s="315" t="s">
        <v>1966</v>
      </c>
      <c r="BC6" s="316" t="s">
        <v>1967</v>
      </c>
      <c r="BD6" s="303" t="s">
        <v>1961</v>
      </c>
      <c r="BE6" s="303"/>
      <c r="BF6" s="303"/>
      <c r="BG6" s="303"/>
      <c r="BH6" s="303"/>
      <c r="BI6" s="312" t="s">
        <v>1962</v>
      </c>
      <c r="BP6" s="312" t="s">
        <v>1963</v>
      </c>
      <c r="CC6" s="313"/>
      <c r="CD6" s="314" t="s">
        <v>1964</v>
      </c>
      <c r="CE6" s="314" t="s">
        <v>1965</v>
      </c>
      <c r="CF6" s="315" t="s">
        <v>1966</v>
      </c>
      <c r="CG6" s="316" t="s">
        <v>1967</v>
      </c>
      <c r="CH6" s="303" t="s">
        <v>1961</v>
      </c>
      <c r="CI6" s="303"/>
      <c r="CJ6" s="303"/>
      <c r="CK6" s="303"/>
      <c r="CL6" s="303"/>
      <c r="CM6" s="312" t="s">
        <v>1962</v>
      </c>
      <c r="CT6" s="312" t="s">
        <v>1963</v>
      </c>
      <c r="DG6" s="313"/>
      <c r="DH6" s="314" t="s">
        <v>1964</v>
      </c>
      <c r="DI6" s="314" t="s">
        <v>1965</v>
      </c>
      <c r="DJ6" s="315" t="s">
        <v>1966</v>
      </c>
      <c r="DK6" s="316" t="s">
        <v>1967</v>
      </c>
      <c r="DL6" s="303" t="s">
        <v>1961</v>
      </c>
      <c r="DM6" s="303"/>
      <c r="DN6" s="303"/>
      <c r="DO6" s="303"/>
      <c r="DP6" s="303"/>
      <c r="DQ6" s="312" t="s">
        <v>1962</v>
      </c>
      <c r="DX6" s="312" t="s">
        <v>1963</v>
      </c>
      <c r="EK6" s="313"/>
      <c r="EL6" s="314" t="s">
        <v>1964</v>
      </c>
      <c r="EM6" s="314" t="s">
        <v>1965</v>
      </c>
      <c r="EN6" s="315" t="s">
        <v>1966</v>
      </c>
      <c r="EO6" s="316" t="s">
        <v>1967</v>
      </c>
      <c r="EP6" s="303" t="s">
        <v>1961</v>
      </c>
      <c r="EQ6" s="303"/>
      <c r="ER6" s="303"/>
      <c r="ES6" s="303"/>
      <c r="ET6" s="303"/>
      <c r="EU6" s="312" t="s">
        <v>1962</v>
      </c>
      <c r="FB6" s="312" t="s">
        <v>1963</v>
      </c>
      <c r="FO6" s="313"/>
      <c r="FP6" s="314" t="s">
        <v>1964</v>
      </c>
      <c r="FQ6" s="314" t="s">
        <v>1965</v>
      </c>
      <c r="FR6" s="315" t="s">
        <v>1966</v>
      </c>
      <c r="FS6" s="316" t="s">
        <v>1967</v>
      </c>
      <c r="FT6" s="303" t="s">
        <v>1961</v>
      </c>
      <c r="FU6" s="303"/>
      <c r="FV6" s="303"/>
      <c r="FW6" s="303"/>
      <c r="FX6" s="303"/>
      <c r="FY6" s="312" t="s">
        <v>1962</v>
      </c>
      <c r="GF6" s="312" t="s">
        <v>1963</v>
      </c>
      <c r="GS6" s="313"/>
      <c r="GT6" s="314" t="s">
        <v>1964</v>
      </c>
      <c r="GU6" s="314" t="s">
        <v>1965</v>
      </c>
      <c r="GV6" s="315" t="s">
        <v>1966</v>
      </c>
      <c r="GW6" s="316" t="s">
        <v>1967</v>
      </c>
      <c r="GX6" s="303" t="s">
        <v>1961</v>
      </c>
      <c r="GY6" s="303"/>
      <c r="GZ6" s="303"/>
      <c r="HA6" s="303"/>
      <c r="HB6" s="303"/>
      <c r="HC6" s="311" t="s">
        <v>1962</v>
      </c>
      <c r="HD6" s="311"/>
      <c r="HE6" s="311"/>
      <c r="HF6" s="311"/>
      <c r="HG6" s="311"/>
      <c r="HH6" s="311"/>
      <c r="HI6" s="311"/>
      <c r="HJ6" s="312" t="s">
        <v>1963</v>
      </c>
      <c r="HW6" s="313"/>
      <c r="HX6" s="314" t="s">
        <v>1964</v>
      </c>
      <c r="HY6" s="314" t="s">
        <v>1965</v>
      </c>
      <c r="HZ6" s="315" t="s">
        <v>1966</v>
      </c>
      <c r="IA6" s="316" t="s">
        <v>1967</v>
      </c>
      <c r="IB6" s="303" t="s">
        <v>1961</v>
      </c>
      <c r="IC6" s="303"/>
      <c r="ID6" s="303"/>
      <c r="IE6" s="303"/>
      <c r="IF6" s="303"/>
      <c r="IG6" s="312" t="s">
        <v>1962</v>
      </c>
      <c r="IN6" s="312" t="s">
        <v>1963</v>
      </c>
      <c r="JA6" s="313"/>
      <c r="JB6" s="314" t="s">
        <v>1964</v>
      </c>
      <c r="JC6" s="314" t="s">
        <v>1965</v>
      </c>
      <c r="JD6" s="315" t="s">
        <v>1966</v>
      </c>
      <c r="JE6" s="316" t="s">
        <v>1967</v>
      </c>
      <c r="JF6" s="303" t="s">
        <v>1961</v>
      </c>
      <c r="JG6" s="303"/>
      <c r="JH6" s="303"/>
      <c r="JI6" s="303"/>
      <c r="JJ6" s="303"/>
      <c r="JK6" s="312" t="s">
        <v>1962</v>
      </c>
      <c r="JR6" s="312" t="s">
        <v>1963</v>
      </c>
      <c r="KE6" s="313"/>
      <c r="KF6" s="314" t="s">
        <v>1964</v>
      </c>
      <c r="KG6" s="314" t="s">
        <v>1965</v>
      </c>
      <c r="KH6" s="315" t="s">
        <v>1966</v>
      </c>
      <c r="KI6" s="316" t="s">
        <v>1967</v>
      </c>
      <c r="KJ6" s="303" t="s">
        <v>1961</v>
      </c>
      <c r="KK6" s="303"/>
      <c r="KL6" s="303"/>
      <c r="KM6" s="303"/>
      <c r="KN6" s="303"/>
      <c r="KO6" s="312" t="s">
        <v>1962</v>
      </c>
      <c r="KV6" s="312" t="s">
        <v>1963</v>
      </c>
      <c r="LI6" s="313"/>
      <c r="LJ6" s="314" t="s">
        <v>1964</v>
      </c>
      <c r="LK6" s="314" t="s">
        <v>1965</v>
      </c>
      <c r="LL6" s="315" t="s">
        <v>1966</v>
      </c>
      <c r="LM6" s="316" t="s">
        <v>1967</v>
      </c>
      <c r="LN6" s="303" t="s">
        <v>1961</v>
      </c>
      <c r="LO6" s="303"/>
      <c r="LP6" s="303"/>
      <c r="LQ6" s="303"/>
      <c r="LR6" s="303"/>
      <c r="LS6" s="312" t="s">
        <v>1962</v>
      </c>
      <c r="LZ6" s="312" t="s">
        <v>1963</v>
      </c>
      <c r="MM6" s="313"/>
      <c r="MN6" s="314" t="s">
        <v>1964</v>
      </c>
      <c r="MO6" s="314" t="s">
        <v>1965</v>
      </c>
      <c r="MP6" s="315" t="s">
        <v>1966</v>
      </c>
      <c r="MQ6" s="316" t="s">
        <v>1967</v>
      </c>
      <c r="MR6" s="303" t="s">
        <v>1961</v>
      </c>
      <c r="MS6" s="303"/>
      <c r="MT6" s="303"/>
      <c r="MU6" s="303"/>
      <c r="MV6" s="303"/>
      <c r="MW6" s="312" t="s">
        <v>1962</v>
      </c>
      <c r="ND6" s="312" t="s">
        <v>1963</v>
      </c>
      <c r="NQ6" s="313"/>
      <c r="NR6" s="314" t="s">
        <v>1964</v>
      </c>
      <c r="NS6" s="314" t="s">
        <v>1965</v>
      </c>
      <c r="NT6" s="315" t="s">
        <v>1966</v>
      </c>
      <c r="NU6" s="316" t="s">
        <v>1967</v>
      </c>
      <c r="NV6" s="303" t="s">
        <v>1961</v>
      </c>
      <c r="NW6" s="303"/>
      <c r="NX6" s="303"/>
      <c r="NY6" s="303"/>
      <c r="NZ6" s="303"/>
      <c r="OA6" s="312" t="s">
        <v>1962</v>
      </c>
      <c r="OH6" s="312" t="s">
        <v>1963</v>
      </c>
      <c r="OU6" s="313"/>
      <c r="OV6" s="314" t="s">
        <v>1964</v>
      </c>
      <c r="OW6" s="314" t="s">
        <v>1965</v>
      </c>
      <c r="OX6" s="315" t="s">
        <v>1966</v>
      </c>
      <c r="OY6" s="316" t="s">
        <v>1967</v>
      </c>
      <c r="OZ6" s="303" t="s">
        <v>1961</v>
      </c>
      <c r="PA6" s="303"/>
      <c r="PB6" s="303"/>
      <c r="PC6" s="303"/>
      <c r="PD6" s="303"/>
      <c r="PE6" s="311" t="s">
        <v>1962</v>
      </c>
      <c r="PF6" s="311"/>
      <c r="PG6" s="311"/>
      <c r="PH6" s="311"/>
      <c r="PI6" s="311"/>
      <c r="PJ6" s="311"/>
      <c r="PK6" s="311"/>
      <c r="PL6" s="312" t="s">
        <v>1963</v>
      </c>
      <c r="PY6" s="313"/>
      <c r="PZ6" s="314" t="s">
        <v>1964</v>
      </c>
      <c r="QA6" s="314" t="s">
        <v>1965</v>
      </c>
      <c r="QB6" s="315" t="s">
        <v>1966</v>
      </c>
      <c r="QC6" s="316" t="s">
        <v>1967</v>
      </c>
      <c r="QD6" s="303" t="s">
        <v>1961</v>
      </c>
      <c r="QE6" s="303"/>
      <c r="QF6" s="303"/>
      <c r="QG6" s="303"/>
      <c r="QH6" s="303"/>
      <c r="QI6" s="312" t="s">
        <v>1962</v>
      </c>
      <c r="QP6" s="312" t="s">
        <v>1963</v>
      </c>
      <c r="RC6" s="313"/>
      <c r="RD6" s="314" t="s">
        <v>1964</v>
      </c>
      <c r="RE6" s="314" t="s">
        <v>1965</v>
      </c>
      <c r="RF6" s="315" t="s">
        <v>1966</v>
      </c>
      <c r="RG6" s="316" t="s">
        <v>1967</v>
      </c>
      <c r="RH6" s="303" t="s">
        <v>1961</v>
      </c>
      <c r="RI6" s="303"/>
      <c r="RJ6" s="303"/>
      <c r="RK6" s="303"/>
      <c r="RL6" s="303"/>
      <c r="RM6" s="312" t="s">
        <v>1962</v>
      </c>
      <c r="RT6" s="312" t="s">
        <v>1963</v>
      </c>
      <c r="SG6" s="313"/>
      <c r="SH6" s="314" t="s">
        <v>1964</v>
      </c>
      <c r="SI6" s="314" t="s">
        <v>1965</v>
      </c>
      <c r="SJ6" s="315" t="s">
        <v>1966</v>
      </c>
      <c r="SK6" s="316" t="s">
        <v>1967</v>
      </c>
      <c r="SL6" s="303" t="s">
        <v>1961</v>
      </c>
      <c r="SM6" s="303"/>
      <c r="SN6" s="303"/>
      <c r="SO6" s="303"/>
      <c r="SP6" s="303"/>
      <c r="SQ6" s="312" t="s">
        <v>1962</v>
      </c>
      <c r="SX6" s="312" t="s">
        <v>1963</v>
      </c>
      <c r="TK6" s="313"/>
      <c r="TL6" s="314" t="s">
        <v>1964</v>
      </c>
      <c r="TM6" s="314" t="s">
        <v>1965</v>
      </c>
      <c r="TN6" s="315" t="s">
        <v>1966</v>
      </c>
      <c r="TO6" s="316" t="s">
        <v>1967</v>
      </c>
      <c r="TP6" s="303" t="s">
        <v>1961</v>
      </c>
      <c r="TQ6" s="303"/>
      <c r="TR6" s="303"/>
      <c r="TS6" s="303"/>
      <c r="TT6" s="303"/>
      <c r="TU6" s="312" t="s">
        <v>1962</v>
      </c>
      <c r="UB6" s="312" t="s">
        <v>1963</v>
      </c>
      <c r="UO6" s="313"/>
      <c r="UP6" s="314" t="s">
        <v>1964</v>
      </c>
      <c r="UQ6" s="314" t="s">
        <v>1965</v>
      </c>
      <c r="UR6" s="315" t="s">
        <v>1966</v>
      </c>
      <c r="US6" s="316" t="s">
        <v>1967</v>
      </c>
      <c r="UT6" s="303" t="s">
        <v>1961</v>
      </c>
      <c r="UU6" s="303"/>
      <c r="UV6" s="303"/>
      <c r="UW6" s="303"/>
      <c r="UX6" s="303"/>
      <c r="UY6" s="312" t="s">
        <v>1962</v>
      </c>
      <c r="VF6" s="312" t="s">
        <v>1963</v>
      </c>
      <c r="VS6" s="313"/>
      <c r="VT6" s="314" t="s">
        <v>1964</v>
      </c>
      <c r="VU6" s="314" t="s">
        <v>1965</v>
      </c>
      <c r="VV6" s="315" t="s">
        <v>1966</v>
      </c>
      <c r="VW6" s="316" t="s">
        <v>1967</v>
      </c>
      <c r="VX6" s="303" t="s">
        <v>1961</v>
      </c>
      <c r="VY6" s="303"/>
      <c r="VZ6" s="303"/>
      <c r="WA6" s="303"/>
      <c r="WB6" s="303"/>
      <c r="WC6" s="312" t="s">
        <v>1962</v>
      </c>
      <c r="WJ6" s="312" t="s">
        <v>1963</v>
      </c>
      <c r="WW6" s="313"/>
      <c r="WX6" s="314" t="s">
        <v>1964</v>
      </c>
      <c r="WY6" s="314" t="s">
        <v>1965</v>
      </c>
      <c r="WZ6" s="315" t="s">
        <v>1966</v>
      </c>
      <c r="XA6" s="316" t="s">
        <v>1967</v>
      </c>
      <c r="XB6" s="303" t="s">
        <v>1961</v>
      </c>
      <c r="XC6" s="303"/>
      <c r="XD6" s="303"/>
      <c r="XE6" s="303"/>
      <c r="XF6" s="303"/>
      <c r="XG6" s="311" t="s">
        <v>1962</v>
      </c>
      <c r="XH6" s="311"/>
      <c r="XI6" s="311"/>
      <c r="XJ6" s="311"/>
      <c r="XK6" s="311"/>
      <c r="XL6" s="311"/>
      <c r="XM6" s="311"/>
      <c r="XN6" s="312" t="s">
        <v>1963</v>
      </c>
      <c r="YA6" s="313"/>
      <c r="YB6" s="314" t="s">
        <v>1964</v>
      </c>
      <c r="YC6" s="314" t="s">
        <v>1965</v>
      </c>
      <c r="YD6" s="315" t="s">
        <v>1966</v>
      </c>
      <c r="YE6" s="316" t="s">
        <v>1967</v>
      </c>
      <c r="YF6" s="303" t="s">
        <v>1961</v>
      </c>
      <c r="YG6" s="303"/>
      <c r="YH6" s="303"/>
      <c r="YI6" s="303"/>
      <c r="YJ6" s="303"/>
      <c r="YK6" s="312" t="s">
        <v>1962</v>
      </c>
      <c r="YR6" s="312" t="s">
        <v>1963</v>
      </c>
      <c r="ZE6" s="313"/>
      <c r="ZF6" s="314" t="s">
        <v>1964</v>
      </c>
      <c r="ZG6" s="314" t="s">
        <v>1965</v>
      </c>
      <c r="ZH6" s="315" t="s">
        <v>1966</v>
      </c>
      <c r="ZI6" s="316" t="s">
        <v>1967</v>
      </c>
      <c r="ZJ6" s="303" t="s">
        <v>1961</v>
      </c>
      <c r="ZK6" s="303"/>
      <c r="ZL6" s="303"/>
      <c r="ZM6" s="303"/>
      <c r="ZN6" s="303"/>
      <c r="ZO6" s="312" t="s">
        <v>1962</v>
      </c>
      <c r="ZV6" s="312" t="s">
        <v>1963</v>
      </c>
      <c r="AAI6" s="313"/>
      <c r="AAJ6" s="314" t="s">
        <v>1964</v>
      </c>
      <c r="AAK6" s="314" t="s">
        <v>1965</v>
      </c>
      <c r="AAL6" s="315" t="s">
        <v>1966</v>
      </c>
      <c r="AAM6" s="316" t="s">
        <v>1967</v>
      </c>
      <c r="AAN6" s="303" t="s">
        <v>1961</v>
      </c>
      <c r="AAO6" s="303"/>
      <c r="AAP6" s="303"/>
      <c r="AAQ6" s="303"/>
      <c r="AAR6" s="303"/>
      <c r="AAS6" s="312" t="s">
        <v>1962</v>
      </c>
      <c r="AAZ6" s="312" t="s">
        <v>1963</v>
      </c>
      <c r="ABM6" s="313"/>
      <c r="ABN6" s="314" t="s">
        <v>1964</v>
      </c>
      <c r="ABO6" s="314" t="s">
        <v>1965</v>
      </c>
      <c r="ABP6" s="315" t="s">
        <v>1966</v>
      </c>
      <c r="ABQ6" s="316" t="s">
        <v>1967</v>
      </c>
      <c r="ABR6" s="303" t="s">
        <v>1961</v>
      </c>
      <c r="ABS6" s="303"/>
      <c r="ABT6" s="303"/>
      <c r="ABU6" s="303"/>
      <c r="ABV6" s="303"/>
      <c r="ABW6" s="312" t="s">
        <v>1962</v>
      </c>
      <c r="ACD6" s="312" t="s">
        <v>1963</v>
      </c>
      <c r="ACQ6" s="313"/>
      <c r="ACR6" s="314" t="s">
        <v>1964</v>
      </c>
      <c r="ACS6" s="314" t="s">
        <v>1965</v>
      </c>
      <c r="ACT6" s="315" t="s">
        <v>1966</v>
      </c>
      <c r="ACU6" s="316" t="s">
        <v>1967</v>
      </c>
      <c r="ACV6" s="303" t="s">
        <v>1961</v>
      </c>
      <c r="ACW6" s="303"/>
      <c r="ACX6" s="303"/>
      <c r="ACY6" s="303"/>
      <c r="ACZ6" s="303"/>
      <c r="ADA6" s="312" t="s">
        <v>1962</v>
      </c>
      <c r="ADH6" s="312" t="s">
        <v>1963</v>
      </c>
      <c r="ADU6" s="313"/>
      <c r="ADV6" s="314" t="s">
        <v>1964</v>
      </c>
      <c r="ADW6" s="314" t="s">
        <v>1965</v>
      </c>
      <c r="ADX6" s="315" t="s">
        <v>1966</v>
      </c>
      <c r="ADY6" s="316" t="s">
        <v>1967</v>
      </c>
      <c r="ADZ6" s="303" t="s">
        <v>1961</v>
      </c>
      <c r="AEA6" s="303"/>
      <c r="AEB6" s="303"/>
      <c r="AEC6" s="303"/>
      <c r="AED6" s="303"/>
      <c r="AEE6" s="312" t="s">
        <v>1962</v>
      </c>
      <c r="AEL6" s="312" t="s">
        <v>1963</v>
      </c>
      <c r="AEY6" s="313"/>
      <c r="AEZ6" s="314" t="s">
        <v>1964</v>
      </c>
      <c r="AFA6" s="314" t="s">
        <v>1965</v>
      </c>
      <c r="AFB6" s="315" t="s">
        <v>1966</v>
      </c>
      <c r="AFC6" s="316" t="s">
        <v>1967</v>
      </c>
      <c r="AFD6" s="303" t="s">
        <v>1961</v>
      </c>
      <c r="AFE6" s="303"/>
      <c r="AFF6" s="303"/>
      <c r="AFG6" s="303"/>
      <c r="AFH6" s="303"/>
      <c r="AFI6" s="311" t="s">
        <v>1962</v>
      </c>
      <c r="AFJ6" s="311"/>
      <c r="AFK6" s="311"/>
      <c r="AFL6" s="311"/>
      <c r="AFM6" s="311"/>
      <c r="AFN6" s="311"/>
      <c r="AFO6" s="311"/>
      <c r="AFP6" s="312" t="s">
        <v>1963</v>
      </c>
      <c r="AGC6" s="313"/>
      <c r="AGD6" s="314" t="s">
        <v>1964</v>
      </c>
      <c r="AGE6" s="314" t="s">
        <v>1965</v>
      </c>
      <c r="AGF6" s="315" t="s">
        <v>1966</v>
      </c>
      <c r="AGG6" s="316" t="s">
        <v>1967</v>
      </c>
      <c r="AGH6" s="303" t="s">
        <v>1961</v>
      </c>
      <c r="AGI6" s="303"/>
      <c r="AGJ6" s="303"/>
      <c r="AGK6" s="303"/>
      <c r="AGL6" s="303"/>
      <c r="AGM6" s="312" t="s">
        <v>1962</v>
      </c>
      <c r="AGT6" s="312" t="s">
        <v>1963</v>
      </c>
      <c r="AHG6" s="313"/>
      <c r="AHH6" s="314" t="s">
        <v>1964</v>
      </c>
      <c r="AHI6" s="314" t="s">
        <v>1965</v>
      </c>
      <c r="AHJ6" s="315" t="s">
        <v>1966</v>
      </c>
      <c r="AHK6" s="316" t="s">
        <v>1967</v>
      </c>
      <c r="AHL6" s="303" t="s">
        <v>1961</v>
      </c>
      <c r="AHM6" s="303"/>
      <c r="AHN6" s="303"/>
      <c r="AHO6" s="303"/>
      <c r="AHP6" s="303"/>
      <c r="AHQ6" s="312" t="s">
        <v>1962</v>
      </c>
      <c r="AHX6" s="312" t="s">
        <v>1963</v>
      </c>
      <c r="AIK6" s="313"/>
      <c r="AIL6" s="314" t="s">
        <v>1964</v>
      </c>
      <c r="AIM6" s="314" t="s">
        <v>1965</v>
      </c>
      <c r="AIN6" s="315" t="s">
        <v>1966</v>
      </c>
      <c r="AIO6" s="316" t="s">
        <v>1967</v>
      </c>
      <c r="AIP6" s="303" t="s">
        <v>1961</v>
      </c>
      <c r="AIQ6" s="303"/>
      <c r="AIR6" s="303"/>
      <c r="AIS6" s="303"/>
      <c r="AIT6" s="303"/>
      <c r="AIU6" s="312" t="s">
        <v>1962</v>
      </c>
      <c r="AJB6" s="312" t="s">
        <v>1963</v>
      </c>
      <c r="AJO6" s="313"/>
      <c r="AJP6" s="314" t="s">
        <v>1964</v>
      </c>
      <c r="AJQ6" s="314" t="s">
        <v>1965</v>
      </c>
      <c r="AJR6" s="315" t="s">
        <v>1966</v>
      </c>
      <c r="AJS6" s="316" t="s">
        <v>1967</v>
      </c>
      <c r="AJT6" s="303" t="s">
        <v>1961</v>
      </c>
      <c r="AJU6" s="303"/>
      <c r="AJV6" s="303"/>
      <c r="AJW6" s="303"/>
      <c r="AJX6" s="303"/>
      <c r="AJY6" s="312" t="s">
        <v>1962</v>
      </c>
      <c r="AKF6" s="312" t="s">
        <v>1963</v>
      </c>
      <c r="AKS6" s="313"/>
      <c r="AKT6" s="314" t="s">
        <v>1964</v>
      </c>
      <c r="AKU6" s="314" t="s">
        <v>1965</v>
      </c>
      <c r="AKV6" s="315" t="s">
        <v>1966</v>
      </c>
      <c r="AKW6" s="316" t="s">
        <v>1967</v>
      </c>
      <c r="AKX6" s="303" t="s">
        <v>1961</v>
      </c>
      <c r="AKY6" s="303"/>
      <c r="AKZ6" s="303"/>
      <c r="ALA6" s="303"/>
      <c r="ALB6" s="303"/>
      <c r="ALC6" s="312" t="s">
        <v>1962</v>
      </c>
      <c r="ALJ6" s="312" t="s">
        <v>1963</v>
      </c>
      <c r="ALW6" s="313"/>
      <c r="ALX6" s="314" t="s">
        <v>1964</v>
      </c>
      <c r="ALY6" s="314" t="s">
        <v>1965</v>
      </c>
      <c r="ALZ6" s="315" t="s">
        <v>1966</v>
      </c>
      <c r="AMA6" s="316" t="s">
        <v>1967</v>
      </c>
      <c r="AMB6" s="303" t="s">
        <v>1961</v>
      </c>
      <c r="AMC6" s="303"/>
      <c r="AMD6" s="303"/>
      <c r="AME6" s="303"/>
      <c r="AMF6" s="303"/>
      <c r="AMG6" s="311" t="s">
        <v>1962</v>
      </c>
      <c r="AMH6" s="311"/>
      <c r="AMI6" s="311"/>
      <c r="AMJ6" s="311"/>
    </row>
    <row r="7" spans="1:1024" x14ac:dyDescent="0.2">
      <c r="A7" s="317"/>
      <c r="B7" s="317"/>
      <c r="C7" s="317"/>
      <c r="D7" s="317"/>
      <c r="E7" s="317"/>
      <c r="F7" s="317"/>
      <c r="G7" s="317"/>
      <c r="U7" s="318" t="s">
        <v>1968</v>
      </c>
      <c r="V7" s="314"/>
      <c r="W7" s="314"/>
      <c r="X7" s="315"/>
      <c r="Y7" s="308"/>
      <c r="Z7" s="308"/>
      <c r="AA7" s="308"/>
      <c r="AB7" s="308"/>
      <c r="AC7" s="308"/>
      <c r="AD7" s="308"/>
      <c r="AY7" s="318" t="s">
        <v>1968</v>
      </c>
      <c r="AZ7" s="314"/>
      <c r="BA7" s="314"/>
      <c r="BB7" s="315"/>
      <c r="BC7" s="308"/>
      <c r="BD7" s="308"/>
      <c r="BE7" s="308"/>
      <c r="BF7" s="308"/>
      <c r="BG7" s="308"/>
      <c r="BH7" s="308"/>
      <c r="CC7" s="318" t="s">
        <v>1968</v>
      </c>
      <c r="CD7" s="314"/>
      <c r="CE7" s="314"/>
      <c r="CF7" s="315"/>
      <c r="CG7" s="308"/>
      <c r="CH7" s="308"/>
      <c r="CI7" s="308"/>
      <c r="CJ7" s="308"/>
      <c r="CK7" s="308"/>
      <c r="CL7" s="308"/>
      <c r="DG7" s="318" t="s">
        <v>1968</v>
      </c>
      <c r="DH7" s="314"/>
      <c r="DI7" s="314"/>
      <c r="DJ7" s="315"/>
      <c r="DK7" s="308"/>
      <c r="DL7" s="308"/>
      <c r="DM7" s="308"/>
      <c r="DN7" s="308"/>
      <c r="DO7" s="308"/>
      <c r="DP7" s="308"/>
      <c r="EK7" s="318" t="s">
        <v>1968</v>
      </c>
      <c r="EL7" s="314"/>
      <c r="EM7" s="314"/>
      <c r="EN7" s="315"/>
      <c r="EO7" s="308"/>
      <c r="EP7" s="308"/>
      <c r="EQ7" s="308"/>
      <c r="ER7" s="308"/>
      <c r="ES7" s="308"/>
      <c r="ET7" s="308"/>
      <c r="FO7" s="318" t="s">
        <v>1968</v>
      </c>
      <c r="FP7" s="314"/>
      <c r="FQ7" s="314"/>
      <c r="FR7" s="315"/>
      <c r="FS7" s="308"/>
      <c r="FT7" s="308"/>
      <c r="FU7" s="308"/>
      <c r="FV7" s="308"/>
      <c r="FW7" s="308"/>
      <c r="FX7" s="308"/>
      <c r="GS7" s="318" t="s">
        <v>1968</v>
      </c>
      <c r="GT7" s="314"/>
      <c r="GU7" s="314"/>
      <c r="GV7" s="315"/>
      <c r="GW7" s="308"/>
      <c r="GX7" s="308"/>
      <c r="GY7" s="308"/>
      <c r="GZ7" s="308"/>
      <c r="HA7" s="308"/>
      <c r="HB7" s="308"/>
      <c r="HC7" s="317"/>
      <c r="HD7" s="317"/>
      <c r="HE7" s="317"/>
      <c r="HF7" s="317"/>
      <c r="HG7" s="317"/>
      <c r="HH7" s="317"/>
      <c r="HI7" s="317"/>
      <c r="HW7" s="318" t="s">
        <v>1968</v>
      </c>
      <c r="HX7" s="314"/>
      <c r="HY7" s="314"/>
      <c r="HZ7" s="315"/>
      <c r="IA7" s="308"/>
      <c r="IB7" s="308"/>
      <c r="IC7" s="308"/>
      <c r="ID7" s="308"/>
      <c r="IE7" s="308"/>
      <c r="IF7" s="308"/>
      <c r="JA7" s="318" t="s">
        <v>1968</v>
      </c>
      <c r="JB7" s="314"/>
      <c r="JC7" s="314"/>
      <c r="JD7" s="315"/>
      <c r="JE7" s="308"/>
      <c r="JF7" s="308"/>
      <c r="JG7" s="308"/>
      <c r="JH7" s="308"/>
      <c r="JI7" s="308"/>
      <c r="JJ7" s="308"/>
      <c r="KE7" s="318" t="s">
        <v>1968</v>
      </c>
      <c r="KF7" s="314"/>
      <c r="KG7" s="314"/>
      <c r="KH7" s="315"/>
      <c r="KI7" s="308"/>
      <c r="KJ7" s="308"/>
      <c r="KK7" s="308"/>
      <c r="KL7" s="308"/>
      <c r="KM7" s="308"/>
      <c r="KN7" s="308"/>
      <c r="LI7" s="318" t="s">
        <v>1968</v>
      </c>
      <c r="LJ7" s="314"/>
      <c r="LK7" s="314"/>
      <c r="LL7" s="315"/>
      <c r="LM7" s="308"/>
      <c r="LN7" s="308"/>
      <c r="LO7" s="308"/>
      <c r="LP7" s="308"/>
      <c r="LQ7" s="308"/>
      <c r="LR7" s="308"/>
      <c r="MM7" s="318" t="s">
        <v>1968</v>
      </c>
      <c r="MN7" s="314"/>
      <c r="MO7" s="314"/>
      <c r="MP7" s="315"/>
      <c r="MQ7" s="308"/>
      <c r="MR7" s="308"/>
      <c r="MS7" s="308"/>
      <c r="MT7" s="308"/>
      <c r="MU7" s="308"/>
      <c r="MV7" s="308"/>
      <c r="NQ7" s="318" t="s">
        <v>1968</v>
      </c>
      <c r="NR7" s="314"/>
      <c r="NS7" s="314"/>
      <c r="NT7" s="315"/>
      <c r="NU7" s="308"/>
      <c r="NV7" s="308"/>
      <c r="NW7" s="308"/>
      <c r="NX7" s="308"/>
      <c r="NY7" s="308"/>
      <c r="NZ7" s="308"/>
      <c r="OU7" s="318" t="s">
        <v>1968</v>
      </c>
      <c r="OV7" s="314"/>
      <c r="OW7" s="314"/>
      <c r="OX7" s="315"/>
      <c r="OY7" s="308"/>
      <c r="OZ7" s="308"/>
      <c r="PA7" s="308"/>
      <c r="PB7" s="308"/>
      <c r="PC7" s="308"/>
      <c r="PD7" s="308"/>
      <c r="PE7" s="317"/>
      <c r="PF7" s="317"/>
      <c r="PG7" s="317"/>
      <c r="PH7" s="317"/>
      <c r="PI7" s="317"/>
      <c r="PJ7" s="317"/>
      <c r="PK7" s="317"/>
      <c r="PY7" s="318" t="s">
        <v>1968</v>
      </c>
      <c r="PZ7" s="314"/>
      <c r="QA7" s="314"/>
      <c r="QB7" s="315"/>
      <c r="QC7" s="308"/>
      <c r="QD7" s="308"/>
      <c r="QE7" s="308"/>
      <c r="QF7" s="308"/>
      <c r="QG7" s="308"/>
      <c r="QH7" s="308"/>
      <c r="RC7" s="318" t="s">
        <v>1968</v>
      </c>
      <c r="RD7" s="314"/>
      <c r="RE7" s="314"/>
      <c r="RF7" s="315"/>
      <c r="RG7" s="308"/>
      <c r="RH7" s="308"/>
      <c r="RI7" s="308"/>
      <c r="RJ7" s="308"/>
      <c r="RK7" s="308"/>
      <c r="RL7" s="308"/>
      <c r="SG7" s="318" t="s">
        <v>1968</v>
      </c>
      <c r="SH7" s="314"/>
      <c r="SI7" s="314"/>
      <c r="SJ7" s="315"/>
      <c r="SK7" s="308"/>
      <c r="SL7" s="308"/>
      <c r="SM7" s="308"/>
      <c r="SN7" s="308"/>
      <c r="SO7" s="308"/>
      <c r="SP7" s="308"/>
      <c r="TK7" s="318" t="s">
        <v>1968</v>
      </c>
      <c r="TL7" s="314"/>
      <c r="TM7" s="314"/>
      <c r="TN7" s="315"/>
      <c r="TO7" s="308"/>
      <c r="TP7" s="308"/>
      <c r="TQ7" s="308"/>
      <c r="TR7" s="308"/>
      <c r="TS7" s="308"/>
      <c r="TT7" s="308"/>
      <c r="UO7" s="318" t="s">
        <v>1968</v>
      </c>
      <c r="UP7" s="314"/>
      <c r="UQ7" s="314"/>
      <c r="UR7" s="315"/>
      <c r="US7" s="308"/>
      <c r="UT7" s="308"/>
      <c r="UU7" s="308"/>
      <c r="UV7" s="308"/>
      <c r="UW7" s="308"/>
      <c r="UX7" s="308"/>
      <c r="VS7" s="318" t="s">
        <v>1968</v>
      </c>
      <c r="VT7" s="314"/>
      <c r="VU7" s="314"/>
      <c r="VV7" s="315"/>
      <c r="VW7" s="308"/>
      <c r="VX7" s="308"/>
      <c r="VY7" s="308"/>
      <c r="VZ7" s="308"/>
      <c r="WA7" s="308"/>
      <c r="WB7" s="308"/>
      <c r="WW7" s="318" t="s">
        <v>1968</v>
      </c>
      <c r="WX7" s="314"/>
      <c r="WY7" s="314"/>
      <c r="WZ7" s="315"/>
      <c r="XA7" s="308"/>
      <c r="XB7" s="308"/>
      <c r="XC7" s="308"/>
      <c r="XD7" s="308"/>
      <c r="XE7" s="308"/>
      <c r="XF7" s="308"/>
      <c r="XG7" s="317"/>
      <c r="XH7" s="317"/>
      <c r="XI7" s="317"/>
      <c r="XJ7" s="317"/>
      <c r="XK7" s="317"/>
      <c r="XL7" s="317"/>
      <c r="XM7" s="317"/>
      <c r="YA7" s="318" t="s">
        <v>1968</v>
      </c>
      <c r="YB7" s="314"/>
      <c r="YC7" s="314"/>
      <c r="YD7" s="315"/>
      <c r="YE7" s="308"/>
      <c r="YF7" s="308"/>
      <c r="YG7" s="308"/>
      <c r="YH7" s="308"/>
      <c r="YI7" s="308"/>
      <c r="YJ7" s="308"/>
      <c r="ZE7" s="318" t="s">
        <v>1968</v>
      </c>
      <c r="ZF7" s="314"/>
      <c r="ZG7" s="314"/>
      <c r="ZH7" s="315"/>
      <c r="ZI7" s="308"/>
      <c r="ZJ7" s="308"/>
      <c r="ZK7" s="308"/>
      <c r="ZL7" s="308"/>
      <c r="ZM7" s="308"/>
      <c r="ZN7" s="308"/>
      <c r="AAI7" s="318" t="s">
        <v>1968</v>
      </c>
      <c r="AAJ7" s="314"/>
      <c r="AAK7" s="314"/>
      <c r="AAL7" s="315"/>
      <c r="AAM7" s="308"/>
      <c r="AAN7" s="308"/>
      <c r="AAO7" s="308"/>
      <c r="AAP7" s="308"/>
      <c r="AAQ7" s="308"/>
      <c r="AAR7" s="308"/>
      <c r="ABM7" s="318" t="s">
        <v>1968</v>
      </c>
      <c r="ABN7" s="314"/>
      <c r="ABO7" s="314"/>
      <c r="ABP7" s="315"/>
      <c r="ABQ7" s="308"/>
      <c r="ABR7" s="308"/>
      <c r="ABS7" s="308"/>
      <c r="ABT7" s="308"/>
      <c r="ABU7" s="308"/>
      <c r="ABV7" s="308"/>
      <c r="ACQ7" s="318" t="s">
        <v>1968</v>
      </c>
      <c r="ACR7" s="314"/>
      <c r="ACS7" s="314"/>
      <c r="ACT7" s="315"/>
      <c r="ACU7" s="308"/>
      <c r="ACV7" s="308"/>
      <c r="ACW7" s="308"/>
      <c r="ACX7" s="308"/>
      <c r="ACY7" s="308"/>
      <c r="ACZ7" s="308"/>
      <c r="ADU7" s="318" t="s">
        <v>1968</v>
      </c>
      <c r="ADV7" s="314"/>
      <c r="ADW7" s="314"/>
      <c r="ADX7" s="315"/>
      <c r="ADY7" s="308"/>
      <c r="ADZ7" s="308"/>
      <c r="AEA7" s="308"/>
      <c r="AEB7" s="308"/>
      <c r="AEC7" s="308"/>
      <c r="AED7" s="308"/>
      <c r="AEY7" s="318" t="s">
        <v>1968</v>
      </c>
      <c r="AEZ7" s="314"/>
      <c r="AFA7" s="314"/>
      <c r="AFB7" s="315"/>
      <c r="AFC7" s="308"/>
      <c r="AFD7" s="308"/>
      <c r="AFE7" s="308"/>
      <c r="AFF7" s="308"/>
      <c r="AFG7" s="308"/>
      <c r="AFH7" s="308"/>
      <c r="AFI7" s="317"/>
      <c r="AFJ7" s="317"/>
      <c r="AFK7" s="317"/>
      <c r="AFL7" s="317"/>
      <c r="AFM7" s="317"/>
      <c r="AFN7" s="317"/>
      <c r="AFO7" s="317"/>
      <c r="AGC7" s="318" t="s">
        <v>1968</v>
      </c>
      <c r="AGD7" s="314"/>
      <c r="AGE7" s="314"/>
      <c r="AGF7" s="315"/>
      <c r="AGG7" s="308"/>
      <c r="AGH7" s="308"/>
      <c r="AGI7" s="308"/>
      <c r="AGJ7" s="308"/>
      <c r="AGK7" s="308"/>
      <c r="AGL7" s="308"/>
      <c r="AHG7" s="318" t="s">
        <v>1968</v>
      </c>
      <c r="AHH7" s="314"/>
      <c r="AHI7" s="314"/>
      <c r="AHJ7" s="315"/>
      <c r="AHK7" s="308"/>
      <c r="AHL7" s="308"/>
      <c r="AHM7" s="308"/>
      <c r="AHN7" s="308"/>
      <c r="AHO7" s="308"/>
      <c r="AHP7" s="308"/>
      <c r="AIK7" s="318" t="s">
        <v>1968</v>
      </c>
      <c r="AIL7" s="314"/>
      <c r="AIM7" s="314"/>
      <c r="AIN7" s="315"/>
      <c r="AIO7" s="308"/>
      <c r="AIP7" s="308"/>
      <c r="AIQ7" s="308"/>
      <c r="AIR7" s="308"/>
      <c r="AIS7" s="308"/>
      <c r="AIT7" s="308"/>
      <c r="AJO7" s="318" t="s">
        <v>1968</v>
      </c>
      <c r="AJP7" s="314"/>
      <c r="AJQ7" s="314"/>
      <c r="AJR7" s="315"/>
      <c r="AJS7" s="308"/>
      <c r="AJT7" s="308"/>
      <c r="AJU7" s="308"/>
      <c r="AJV7" s="308"/>
      <c r="AJW7" s="308"/>
      <c r="AJX7" s="308"/>
      <c r="AKS7" s="318" t="s">
        <v>1968</v>
      </c>
      <c r="AKT7" s="314"/>
      <c r="AKU7" s="314"/>
      <c r="AKV7" s="315"/>
      <c r="AKW7" s="308"/>
      <c r="AKX7" s="308"/>
      <c r="AKY7" s="308"/>
      <c r="AKZ7" s="308"/>
      <c r="ALA7" s="308"/>
      <c r="ALB7" s="308"/>
      <c r="ALW7" s="318" t="s">
        <v>1968</v>
      </c>
      <c r="ALX7" s="314"/>
      <c r="ALY7" s="314"/>
      <c r="ALZ7" s="315"/>
      <c r="AMA7" s="308"/>
      <c r="AMB7" s="308"/>
      <c r="AMC7" s="308"/>
      <c r="AMD7" s="308"/>
      <c r="AME7" s="308"/>
      <c r="AMF7" s="308"/>
      <c r="AMG7" s="317"/>
      <c r="AMH7" s="317"/>
      <c r="AMI7" s="317"/>
      <c r="AMJ7" s="317"/>
    </row>
    <row r="8" spans="1:1024" x14ac:dyDescent="0.2">
      <c r="A8" s="319" t="s">
        <v>1969</v>
      </c>
      <c r="B8" s="319"/>
      <c r="C8" s="319"/>
      <c r="D8" s="319"/>
      <c r="E8" s="319"/>
      <c r="F8" s="319"/>
      <c r="G8" s="319"/>
      <c r="H8" s="320" t="s">
        <v>1970</v>
      </c>
      <c r="U8" s="321" t="s">
        <v>1971</v>
      </c>
      <c r="V8" s="321" t="s">
        <v>1972</v>
      </c>
      <c r="W8" s="321" t="s">
        <v>1973</v>
      </c>
      <c r="X8" s="321" t="s">
        <v>1974</v>
      </c>
      <c r="Y8" s="322" t="s">
        <v>1975</v>
      </c>
      <c r="Z8" s="322" t="s">
        <v>1976</v>
      </c>
      <c r="AA8" s="322" t="s">
        <v>1977</v>
      </c>
      <c r="AB8" s="322" t="s">
        <v>1978</v>
      </c>
      <c r="AC8" s="322" t="s">
        <v>1979</v>
      </c>
      <c r="AD8" s="322" t="s">
        <v>1980</v>
      </c>
      <c r="AE8" s="320" t="s">
        <v>1969</v>
      </c>
      <c r="AL8" s="320" t="s">
        <v>1970</v>
      </c>
      <c r="AY8" s="321" t="s">
        <v>1971</v>
      </c>
      <c r="AZ8" s="321" t="s">
        <v>1972</v>
      </c>
      <c r="BA8" s="321" t="s">
        <v>1973</v>
      </c>
      <c r="BB8" s="321" t="s">
        <v>1974</v>
      </c>
      <c r="BC8" s="322" t="s">
        <v>1975</v>
      </c>
      <c r="BD8" s="322" t="s">
        <v>1976</v>
      </c>
      <c r="BE8" s="322" t="s">
        <v>1977</v>
      </c>
      <c r="BF8" s="322" t="s">
        <v>1978</v>
      </c>
      <c r="BG8" s="322" t="s">
        <v>1979</v>
      </c>
      <c r="BH8" s="322" t="s">
        <v>1980</v>
      </c>
      <c r="BI8" s="320" t="s">
        <v>1969</v>
      </c>
      <c r="BP8" s="320" t="s">
        <v>1970</v>
      </c>
      <c r="CC8" s="321" t="s">
        <v>1971</v>
      </c>
      <c r="CD8" s="321" t="s">
        <v>1972</v>
      </c>
      <c r="CE8" s="321" t="s">
        <v>1973</v>
      </c>
      <c r="CF8" s="321" t="s">
        <v>1974</v>
      </c>
      <c r="CG8" s="322" t="s">
        <v>1975</v>
      </c>
      <c r="CH8" s="322" t="s">
        <v>1976</v>
      </c>
      <c r="CI8" s="322" t="s">
        <v>1977</v>
      </c>
      <c r="CJ8" s="322" t="s">
        <v>1978</v>
      </c>
      <c r="CK8" s="322" t="s">
        <v>1979</v>
      </c>
      <c r="CL8" s="322" t="s">
        <v>1980</v>
      </c>
      <c r="CM8" s="320" t="s">
        <v>1969</v>
      </c>
      <c r="CT8" s="320" t="s">
        <v>1970</v>
      </c>
      <c r="DG8" s="321" t="s">
        <v>1971</v>
      </c>
      <c r="DH8" s="321" t="s">
        <v>1972</v>
      </c>
      <c r="DI8" s="321" t="s">
        <v>1973</v>
      </c>
      <c r="DJ8" s="321" t="s">
        <v>1974</v>
      </c>
      <c r="DK8" s="322" t="s">
        <v>1975</v>
      </c>
      <c r="DL8" s="322" t="s">
        <v>1976</v>
      </c>
      <c r="DM8" s="322" t="s">
        <v>1977</v>
      </c>
      <c r="DN8" s="322" t="s">
        <v>1978</v>
      </c>
      <c r="DO8" s="322" t="s">
        <v>1979</v>
      </c>
      <c r="DP8" s="322" t="s">
        <v>1980</v>
      </c>
      <c r="DQ8" s="320" t="s">
        <v>1969</v>
      </c>
      <c r="DX8" s="320" t="s">
        <v>1970</v>
      </c>
      <c r="EK8" s="321" t="s">
        <v>1971</v>
      </c>
      <c r="EL8" s="321" t="s">
        <v>1972</v>
      </c>
      <c r="EM8" s="321" t="s">
        <v>1973</v>
      </c>
      <c r="EN8" s="321" t="s">
        <v>1974</v>
      </c>
      <c r="EO8" s="322" t="s">
        <v>1975</v>
      </c>
      <c r="EP8" s="322" t="s">
        <v>1976</v>
      </c>
      <c r="EQ8" s="322" t="s">
        <v>1977</v>
      </c>
      <c r="ER8" s="322" t="s">
        <v>1978</v>
      </c>
      <c r="ES8" s="322" t="s">
        <v>1979</v>
      </c>
      <c r="ET8" s="322" t="s">
        <v>1980</v>
      </c>
      <c r="EU8" s="320" t="s">
        <v>1969</v>
      </c>
      <c r="FB8" s="320" t="s">
        <v>1970</v>
      </c>
      <c r="FO8" s="321" t="s">
        <v>1971</v>
      </c>
      <c r="FP8" s="321" t="s">
        <v>1972</v>
      </c>
      <c r="FQ8" s="321" t="s">
        <v>1973</v>
      </c>
      <c r="FR8" s="321" t="s">
        <v>1974</v>
      </c>
      <c r="FS8" s="322" t="s">
        <v>1975</v>
      </c>
      <c r="FT8" s="322" t="s">
        <v>1976</v>
      </c>
      <c r="FU8" s="322" t="s">
        <v>1977</v>
      </c>
      <c r="FV8" s="322" t="s">
        <v>1978</v>
      </c>
      <c r="FW8" s="322" t="s">
        <v>1979</v>
      </c>
      <c r="FX8" s="322" t="s">
        <v>1980</v>
      </c>
      <c r="FY8" s="320" t="s">
        <v>1969</v>
      </c>
      <c r="GF8" s="320" t="s">
        <v>1970</v>
      </c>
      <c r="GS8" s="321" t="s">
        <v>1971</v>
      </c>
      <c r="GT8" s="321" t="s">
        <v>1972</v>
      </c>
      <c r="GU8" s="321" t="s">
        <v>1973</v>
      </c>
      <c r="GV8" s="321" t="s">
        <v>1974</v>
      </c>
      <c r="GW8" s="322" t="s">
        <v>1975</v>
      </c>
      <c r="GX8" s="322" t="s">
        <v>1976</v>
      </c>
      <c r="GY8" s="322" t="s">
        <v>1977</v>
      </c>
      <c r="GZ8" s="322" t="s">
        <v>1978</v>
      </c>
      <c r="HA8" s="322" t="s">
        <v>1979</v>
      </c>
      <c r="HB8" s="322" t="s">
        <v>1980</v>
      </c>
      <c r="HC8" s="319" t="s">
        <v>1969</v>
      </c>
      <c r="HD8" s="319"/>
      <c r="HE8" s="319"/>
      <c r="HF8" s="319"/>
      <c r="HG8" s="319"/>
      <c r="HH8" s="319"/>
      <c r="HI8" s="319"/>
      <c r="HJ8" s="320" t="s">
        <v>1970</v>
      </c>
      <c r="HW8" s="321" t="s">
        <v>1971</v>
      </c>
      <c r="HX8" s="321" t="s">
        <v>1972</v>
      </c>
      <c r="HY8" s="321" t="s">
        <v>1973</v>
      </c>
      <c r="HZ8" s="321" t="s">
        <v>1974</v>
      </c>
      <c r="IA8" s="322" t="s">
        <v>1975</v>
      </c>
      <c r="IB8" s="322" t="s">
        <v>1976</v>
      </c>
      <c r="IC8" s="322" t="s">
        <v>1977</v>
      </c>
      <c r="ID8" s="322" t="s">
        <v>1978</v>
      </c>
      <c r="IE8" s="322" t="s">
        <v>1979</v>
      </c>
      <c r="IF8" s="322" t="s">
        <v>1980</v>
      </c>
      <c r="IG8" s="320" t="s">
        <v>1969</v>
      </c>
      <c r="IN8" s="320" t="s">
        <v>1970</v>
      </c>
      <c r="JA8" s="321" t="s">
        <v>1971</v>
      </c>
      <c r="JB8" s="321" t="s">
        <v>1972</v>
      </c>
      <c r="JC8" s="321" t="s">
        <v>1973</v>
      </c>
      <c r="JD8" s="321" t="s">
        <v>1974</v>
      </c>
      <c r="JE8" s="322" t="s">
        <v>1975</v>
      </c>
      <c r="JF8" s="322" t="s">
        <v>1976</v>
      </c>
      <c r="JG8" s="322" t="s">
        <v>1977</v>
      </c>
      <c r="JH8" s="322" t="s">
        <v>1978</v>
      </c>
      <c r="JI8" s="322" t="s">
        <v>1979</v>
      </c>
      <c r="JJ8" s="322" t="s">
        <v>1980</v>
      </c>
      <c r="JK8" s="320" t="s">
        <v>1969</v>
      </c>
      <c r="JR8" s="320" t="s">
        <v>1970</v>
      </c>
      <c r="KE8" s="321" t="s">
        <v>1971</v>
      </c>
      <c r="KF8" s="321" t="s">
        <v>1972</v>
      </c>
      <c r="KG8" s="321" t="s">
        <v>1973</v>
      </c>
      <c r="KH8" s="321" t="s">
        <v>1974</v>
      </c>
      <c r="KI8" s="322" t="s">
        <v>1975</v>
      </c>
      <c r="KJ8" s="322" t="s">
        <v>1976</v>
      </c>
      <c r="KK8" s="322" t="s">
        <v>1977</v>
      </c>
      <c r="KL8" s="322" t="s">
        <v>1978</v>
      </c>
      <c r="KM8" s="322" t="s">
        <v>1979</v>
      </c>
      <c r="KN8" s="322" t="s">
        <v>1980</v>
      </c>
      <c r="KO8" s="320" t="s">
        <v>1969</v>
      </c>
      <c r="KV8" s="320" t="s">
        <v>1970</v>
      </c>
      <c r="LI8" s="321" t="s">
        <v>1971</v>
      </c>
      <c r="LJ8" s="321" t="s">
        <v>1972</v>
      </c>
      <c r="LK8" s="321" t="s">
        <v>1973</v>
      </c>
      <c r="LL8" s="321" t="s">
        <v>1974</v>
      </c>
      <c r="LM8" s="322" t="s">
        <v>1975</v>
      </c>
      <c r="LN8" s="322" t="s">
        <v>1976</v>
      </c>
      <c r="LO8" s="322" t="s">
        <v>1977</v>
      </c>
      <c r="LP8" s="322" t="s">
        <v>1978</v>
      </c>
      <c r="LQ8" s="322" t="s">
        <v>1979</v>
      </c>
      <c r="LR8" s="322" t="s">
        <v>1980</v>
      </c>
      <c r="LS8" s="320" t="s">
        <v>1969</v>
      </c>
      <c r="LZ8" s="320" t="s">
        <v>1970</v>
      </c>
      <c r="MM8" s="321" t="s">
        <v>1971</v>
      </c>
      <c r="MN8" s="321" t="s">
        <v>1972</v>
      </c>
      <c r="MO8" s="321" t="s">
        <v>1973</v>
      </c>
      <c r="MP8" s="321" t="s">
        <v>1974</v>
      </c>
      <c r="MQ8" s="322" t="s">
        <v>1975</v>
      </c>
      <c r="MR8" s="322" t="s">
        <v>1976</v>
      </c>
      <c r="MS8" s="322" t="s">
        <v>1977</v>
      </c>
      <c r="MT8" s="322" t="s">
        <v>1978</v>
      </c>
      <c r="MU8" s="322" t="s">
        <v>1979</v>
      </c>
      <c r="MV8" s="322" t="s">
        <v>1980</v>
      </c>
      <c r="MW8" s="320" t="s">
        <v>1969</v>
      </c>
      <c r="ND8" s="320" t="s">
        <v>1970</v>
      </c>
      <c r="NQ8" s="321" t="s">
        <v>1971</v>
      </c>
      <c r="NR8" s="321" t="s">
        <v>1972</v>
      </c>
      <c r="NS8" s="321" t="s">
        <v>1973</v>
      </c>
      <c r="NT8" s="321" t="s">
        <v>1974</v>
      </c>
      <c r="NU8" s="322" t="s">
        <v>1975</v>
      </c>
      <c r="NV8" s="322" t="s">
        <v>1976</v>
      </c>
      <c r="NW8" s="322" t="s">
        <v>1977</v>
      </c>
      <c r="NX8" s="322" t="s">
        <v>1978</v>
      </c>
      <c r="NY8" s="322" t="s">
        <v>1979</v>
      </c>
      <c r="NZ8" s="322" t="s">
        <v>1980</v>
      </c>
      <c r="OA8" s="320" t="s">
        <v>1969</v>
      </c>
      <c r="OH8" s="320" t="s">
        <v>1970</v>
      </c>
      <c r="OU8" s="321" t="s">
        <v>1971</v>
      </c>
      <c r="OV8" s="321" t="s">
        <v>1972</v>
      </c>
      <c r="OW8" s="321" t="s">
        <v>1973</v>
      </c>
      <c r="OX8" s="321" t="s">
        <v>1974</v>
      </c>
      <c r="OY8" s="322" t="s">
        <v>1975</v>
      </c>
      <c r="OZ8" s="322" t="s">
        <v>1976</v>
      </c>
      <c r="PA8" s="322" t="s">
        <v>1977</v>
      </c>
      <c r="PB8" s="322" t="s">
        <v>1978</v>
      </c>
      <c r="PC8" s="322" t="s">
        <v>1979</v>
      </c>
      <c r="PD8" s="322" t="s">
        <v>1980</v>
      </c>
      <c r="PE8" s="319" t="s">
        <v>1969</v>
      </c>
      <c r="PF8" s="319"/>
      <c r="PG8" s="319"/>
      <c r="PH8" s="319"/>
      <c r="PI8" s="319"/>
      <c r="PJ8" s="319"/>
      <c r="PK8" s="319"/>
      <c r="PL8" s="320" t="s">
        <v>1970</v>
      </c>
      <c r="PY8" s="321" t="s">
        <v>1971</v>
      </c>
      <c r="PZ8" s="321" t="s">
        <v>1972</v>
      </c>
      <c r="QA8" s="321" t="s">
        <v>1973</v>
      </c>
      <c r="QB8" s="321" t="s">
        <v>1974</v>
      </c>
      <c r="QC8" s="322" t="s">
        <v>1975</v>
      </c>
      <c r="QD8" s="322" t="s">
        <v>1976</v>
      </c>
      <c r="QE8" s="322" t="s">
        <v>1977</v>
      </c>
      <c r="QF8" s="322" t="s">
        <v>1978</v>
      </c>
      <c r="QG8" s="322" t="s">
        <v>1979</v>
      </c>
      <c r="QH8" s="322" t="s">
        <v>1980</v>
      </c>
      <c r="QI8" s="320" t="s">
        <v>1969</v>
      </c>
      <c r="QP8" s="320" t="s">
        <v>1970</v>
      </c>
      <c r="RC8" s="321" t="s">
        <v>1971</v>
      </c>
      <c r="RD8" s="321" t="s">
        <v>1972</v>
      </c>
      <c r="RE8" s="321" t="s">
        <v>1973</v>
      </c>
      <c r="RF8" s="321" t="s">
        <v>1974</v>
      </c>
      <c r="RG8" s="322" t="s">
        <v>1975</v>
      </c>
      <c r="RH8" s="322" t="s">
        <v>1976</v>
      </c>
      <c r="RI8" s="322" t="s">
        <v>1977</v>
      </c>
      <c r="RJ8" s="322" t="s">
        <v>1978</v>
      </c>
      <c r="RK8" s="322" t="s">
        <v>1979</v>
      </c>
      <c r="RL8" s="322" t="s">
        <v>1980</v>
      </c>
      <c r="RM8" s="320" t="s">
        <v>1969</v>
      </c>
      <c r="RT8" s="320" t="s">
        <v>1970</v>
      </c>
      <c r="SG8" s="321" t="s">
        <v>1971</v>
      </c>
      <c r="SH8" s="321" t="s">
        <v>1972</v>
      </c>
      <c r="SI8" s="321" t="s">
        <v>1973</v>
      </c>
      <c r="SJ8" s="321" t="s">
        <v>1974</v>
      </c>
      <c r="SK8" s="322" t="s">
        <v>1975</v>
      </c>
      <c r="SL8" s="322" t="s">
        <v>1976</v>
      </c>
      <c r="SM8" s="322" t="s">
        <v>1977</v>
      </c>
      <c r="SN8" s="322" t="s">
        <v>1978</v>
      </c>
      <c r="SO8" s="322" t="s">
        <v>1979</v>
      </c>
      <c r="SP8" s="322" t="s">
        <v>1980</v>
      </c>
      <c r="SQ8" s="320" t="s">
        <v>1969</v>
      </c>
      <c r="SX8" s="320" t="s">
        <v>1970</v>
      </c>
      <c r="TK8" s="321" t="s">
        <v>1971</v>
      </c>
      <c r="TL8" s="321" t="s">
        <v>1972</v>
      </c>
      <c r="TM8" s="321" t="s">
        <v>1973</v>
      </c>
      <c r="TN8" s="321" t="s">
        <v>1974</v>
      </c>
      <c r="TO8" s="322" t="s">
        <v>1975</v>
      </c>
      <c r="TP8" s="322" t="s">
        <v>1976</v>
      </c>
      <c r="TQ8" s="322" t="s">
        <v>1977</v>
      </c>
      <c r="TR8" s="322" t="s">
        <v>1978</v>
      </c>
      <c r="TS8" s="322" t="s">
        <v>1979</v>
      </c>
      <c r="TT8" s="322" t="s">
        <v>1980</v>
      </c>
      <c r="TU8" s="320" t="s">
        <v>1969</v>
      </c>
      <c r="UB8" s="320" t="s">
        <v>1970</v>
      </c>
      <c r="UO8" s="321" t="s">
        <v>1971</v>
      </c>
      <c r="UP8" s="321" t="s">
        <v>1972</v>
      </c>
      <c r="UQ8" s="321" t="s">
        <v>1973</v>
      </c>
      <c r="UR8" s="321" t="s">
        <v>1974</v>
      </c>
      <c r="US8" s="322" t="s">
        <v>1975</v>
      </c>
      <c r="UT8" s="322" t="s">
        <v>1976</v>
      </c>
      <c r="UU8" s="322" t="s">
        <v>1977</v>
      </c>
      <c r="UV8" s="322" t="s">
        <v>1978</v>
      </c>
      <c r="UW8" s="322" t="s">
        <v>1979</v>
      </c>
      <c r="UX8" s="322" t="s">
        <v>1980</v>
      </c>
      <c r="UY8" s="320" t="s">
        <v>1969</v>
      </c>
      <c r="VF8" s="320" t="s">
        <v>1970</v>
      </c>
      <c r="VS8" s="321" t="s">
        <v>1971</v>
      </c>
      <c r="VT8" s="321" t="s">
        <v>1972</v>
      </c>
      <c r="VU8" s="321" t="s">
        <v>1973</v>
      </c>
      <c r="VV8" s="321" t="s">
        <v>1974</v>
      </c>
      <c r="VW8" s="322" t="s">
        <v>1975</v>
      </c>
      <c r="VX8" s="322" t="s">
        <v>1976</v>
      </c>
      <c r="VY8" s="322" t="s">
        <v>1977</v>
      </c>
      <c r="VZ8" s="322" t="s">
        <v>1978</v>
      </c>
      <c r="WA8" s="322" t="s">
        <v>1979</v>
      </c>
      <c r="WB8" s="322" t="s">
        <v>1980</v>
      </c>
      <c r="WC8" s="320" t="s">
        <v>1969</v>
      </c>
      <c r="WJ8" s="320" t="s">
        <v>1970</v>
      </c>
      <c r="WW8" s="321" t="s">
        <v>1971</v>
      </c>
      <c r="WX8" s="321" t="s">
        <v>1972</v>
      </c>
      <c r="WY8" s="321" t="s">
        <v>1973</v>
      </c>
      <c r="WZ8" s="321" t="s">
        <v>1974</v>
      </c>
      <c r="XA8" s="322" t="s">
        <v>1975</v>
      </c>
      <c r="XB8" s="322" t="s">
        <v>1976</v>
      </c>
      <c r="XC8" s="322" t="s">
        <v>1977</v>
      </c>
      <c r="XD8" s="322" t="s">
        <v>1978</v>
      </c>
      <c r="XE8" s="322" t="s">
        <v>1979</v>
      </c>
      <c r="XF8" s="322" t="s">
        <v>1980</v>
      </c>
      <c r="XG8" s="319" t="s">
        <v>1969</v>
      </c>
      <c r="XH8" s="319"/>
      <c r="XI8" s="319"/>
      <c r="XJ8" s="319"/>
      <c r="XK8" s="319"/>
      <c r="XL8" s="319"/>
      <c r="XM8" s="319"/>
      <c r="XN8" s="320" t="s">
        <v>1970</v>
      </c>
      <c r="YA8" s="321" t="s">
        <v>1971</v>
      </c>
      <c r="YB8" s="321" t="s">
        <v>1972</v>
      </c>
      <c r="YC8" s="321" t="s">
        <v>1973</v>
      </c>
      <c r="YD8" s="321" t="s">
        <v>1974</v>
      </c>
      <c r="YE8" s="322" t="s">
        <v>1975</v>
      </c>
      <c r="YF8" s="322" t="s">
        <v>1976</v>
      </c>
      <c r="YG8" s="322" t="s">
        <v>1977</v>
      </c>
      <c r="YH8" s="322" t="s">
        <v>1978</v>
      </c>
      <c r="YI8" s="322" t="s">
        <v>1979</v>
      </c>
      <c r="YJ8" s="322" t="s">
        <v>1980</v>
      </c>
      <c r="YK8" s="320" t="s">
        <v>1969</v>
      </c>
      <c r="YR8" s="320" t="s">
        <v>1970</v>
      </c>
      <c r="ZE8" s="321" t="s">
        <v>1971</v>
      </c>
      <c r="ZF8" s="321" t="s">
        <v>1972</v>
      </c>
      <c r="ZG8" s="321" t="s">
        <v>1973</v>
      </c>
      <c r="ZH8" s="321" t="s">
        <v>1974</v>
      </c>
      <c r="ZI8" s="322" t="s">
        <v>1975</v>
      </c>
      <c r="ZJ8" s="322" t="s">
        <v>1976</v>
      </c>
      <c r="ZK8" s="322" t="s">
        <v>1977</v>
      </c>
      <c r="ZL8" s="322" t="s">
        <v>1978</v>
      </c>
      <c r="ZM8" s="322" t="s">
        <v>1979</v>
      </c>
      <c r="ZN8" s="322" t="s">
        <v>1980</v>
      </c>
      <c r="ZO8" s="320" t="s">
        <v>1969</v>
      </c>
      <c r="ZV8" s="320" t="s">
        <v>1970</v>
      </c>
      <c r="AAI8" s="321" t="s">
        <v>1971</v>
      </c>
      <c r="AAJ8" s="321" t="s">
        <v>1972</v>
      </c>
      <c r="AAK8" s="321" t="s">
        <v>1973</v>
      </c>
      <c r="AAL8" s="321" t="s">
        <v>1974</v>
      </c>
      <c r="AAM8" s="322" t="s">
        <v>1975</v>
      </c>
      <c r="AAN8" s="322" t="s">
        <v>1976</v>
      </c>
      <c r="AAO8" s="322" t="s">
        <v>1977</v>
      </c>
      <c r="AAP8" s="322" t="s">
        <v>1978</v>
      </c>
      <c r="AAQ8" s="322" t="s">
        <v>1979</v>
      </c>
      <c r="AAR8" s="322" t="s">
        <v>1980</v>
      </c>
      <c r="AAS8" s="320" t="s">
        <v>1969</v>
      </c>
      <c r="AAZ8" s="320" t="s">
        <v>1970</v>
      </c>
      <c r="ABM8" s="321" t="s">
        <v>1971</v>
      </c>
      <c r="ABN8" s="321" t="s">
        <v>1972</v>
      </c>
      <c r="ABO8" s="321" t="s">
        <v>1973</v>
      </c>
      <c r="ABP8" s="321" t="s">
        <v>1974</v>
      </c>
      <c r="ABQ8" s="322" t="s">
        <v>1975</v>
      </c>
      <c r="ABR8" s="322" t="s">
        <v>1976</v>
      </c>
      <c r="ABS8" s="322" t="s">
        <v>1977</v>
      </c>
      <c r="ABT8" s="322" t="s">
        <v>1978</v>
      </c>
      <c r="ABU8" s="322" t="s">
        <v>1979</v>
      </c>
      <c r="ABV8" s="322" t="s">
        <v>1980</v>
      </c>
      <c r="ABW8" s="320" t="s">
        <v>1969</v>
      </c>
      <c r="ACD8" s="320" t="s">
        <v>1970</v>
      </c>
      <c r="ACQ8" s="321" t="s">
        <v>1971</v>
      </c>
      <c r="ACR8" s="321" t="s">
        <v>1972</v>
      </c>
      <c r="ACS8" s="321" t="s">
        <v>1973</v>
      </c>
      <c r="ACT8" s="321" t="s">
        <v>1974</v>
      </c>
      <c r="ACU8" s="322" t="s">
        <v>1975</v>
      </c>
      <c r="ACV8" s="322" t="s">
        <v>1976</v>
      </c>
      <c r="ACW8" s="322" t="s">
        <v>1977</v>
      </c>
      <c r="ACX8" s="322" t="s">
        <v>1978</v>
      </c>
      <c r="ACY8" s="322" t="s">
        <v>1979</v>
      </c>
      <c r="ACZ8" s="322" t="s">
        <v>1980</v>
      </c>
      <c r="ADA8" s="320" t="s">
        <v>1969</v>
      </c>
      <c r="ADH8" s="320" t="s">
        <v>1970</v>
      </c>
      <c r="ADU8" s="321" t="s">
        <v>1971</v>
      </c>
      <c r="ADV8" s="321" t="s">
        <v>1972</v>
      </c>
      <c r="ADW8" s="321" t="s">
        <v>1973</v>
      </c>
      <c r="ADX8" s="321" t="s">
        <v>1974</v>
      </c>
      <c r="ADY8" s="322" t="s">
        <v>1975</v>
      </c>
      <c r="ADZ8" s="322" t="s">
        <v>1976</v>
      </c>
      <c r="AEA8" s="322" t="s">
        <v>1977</v>
      </c>
      <c r="AEB8" s="322" t="s">
        <v>1978</v>
      </c>
      <c r="AEC8" s="322" t="s">
        <v>1979</v>
      </c>
      <c r="AED8" s="322" t="s">
        <v>1980</v>
      </c>
      <c r="AEE8" s="320" t="s">
        <v>1969</v>
      </c>
      <c r="AEL8" s="320" t="s">
        <v>1970</v>
      </c>
      <c r="AEY8" s="321" t="s">
        <v>1971</v>
      </c>
      <c r="AEZ8" s="321" t="s">
        <v>1972</v>
      </c>
      <c r="AFA8" s="321" t="s">
        <v>1973</v>
      </c>
      <c r="AFB8" s="321" t="s">
        <v>1974</v>
      </c>
      <c r="AFC8" s="322" t="s">
        <v>1975</v>
      </c>
      <c r="AFD8" s="322" t="s">
        <v>1976</v>
      </c>
      <c r="AFE8" s="322" t="s">
        <v>1977</v>
      </c>
      <c r="AFF8" s="322" t="s">
        <v>1978</v>
      </c>
      <c r="AFG8" s="322" t="s">
        <v>1979</v>
      </c>
      <c r="AFH8" s="322" t="s">
        <v>1980</v>
      </c>
      <c r="AFI8" s="319" t="s">
        <v>1969</v>
      </c>
      <c r="AFJ8" s="319"/>
      <c r="AFK8" s="319"/>
      <c r="AFL8" s="319"/>
      <c r="AFM8" s="319"/>
      <c r="AFN8" s="319"/>
      <c r="AFO8" s="319"/>
      <c r="AFP8" s="320" t="s">
        <v>1970</v>
      </c>
      <c r="AGC8" s="321" t="s">
        <v>1971</v>
      </c>
      <c r="AGD8" s="321" t="s">
        <v>1972</v>
      </c>
      <c r="AGE8" s="321" t="s">
        <v>1973</v>
      </c>
      <c r="AGF8" s="321" t="s">
        <v>1974</v>
      </c>
      <c r="AGG8" s="322" t="s">
        <v>1975</v>
      </c>
      <c r="AGH8" s="322" t="s">
        <v>1976</v>
      </c>
      <c r="AGI8" s="322" t="s">
        <v>1977</v>
      </c>
      <c r="AGJ8" s="322" t="s">
        <v>1978</v>
      </c>
      <c r="AGK8" s="322" t="s">
        <v>1979</v>
      </c>
      <c r="AGL8" s="322" t="s">
        <v>1980</v>
      </c>
      <c r="AGM8" s="320" t="s">
        <v>1969</v>
      </c>
      <c r="AGT8" s="320" t="s">
        <v>1970</v>
      </c>
      <c r="AHG8" s="321" t="s">
        <v>1971</v>
      </c>
      <c r="AHH8" s="321" t="s">
        <v>1972</v>
      </c>
      <c r="AHI8" s="321" t="s">
        <v>1973</v>
      </c>
      <c r="AHJ8" s="321" t="s">
        <v>1974</v>
      </c>
      <c r="AHK8" s="322" t="s">
        <v>1975</v>
      </c>
      <c r="AHL8" s="322" t="s">
        <v>1976</v>
      </c>
      <c r="AHM8" s="322" t="s">
        <v>1977</v>
      </c>
      <c r="AHN8" s="322" t="s">
        <v>1978</v>
      </c>
      <c r="AHO8" s="322" t="s">
        <v>1979</v>
      </c>
      <c r="AHP8" s="322" t="s">
        <v>1980</v>
      </c>
      <c r="AHQ8" s="320" t="s">
        <v>1969</v>
      </c>
      <c r="AHX8" s="320" t="s">
        <v>1970</v>
      </c>
      <c r="AIK8" s="321" t="s">
        <v>1971</v>
      </c>
      <c r="AIL8" s="321" t="s">
        <v>1972</v>
      </c>
      <c r="AIM8" s="321" t="s">
        <v>1973</v>
      </c>
      <c r="AIN8" s="321" t="s">
        <v>1974</v>
      </c>
      <c r="AIO8" s="322" t="s">
        <v>1975</v>
      </c>
      <c r="AIP8" s="322" t="s">
        <v>1976</v>
      </c>
      <c r="AIQ8" s="322" t="s">
        <v>1977</v>
      </c>
      <c r="AIR8" s="322" t="s">
        <v>1978</v>
      </c>
      <c r="AIS8" s="322" t="s">
        <v>1979</v>
      </c>
      <c r="AIT8" s="322" t="s">
        <v>1980</v>
      </c>
      <c r="AIU8" s="320" t="s">
        <v>1969</v>
      </c>
      <c r="AJB8" s="320" t="s">
        <v>1970</v>
      </c>
      <c r="AJO8" s="321" t="s">
        <v>1971</v>
      </c>
      <c r="AJP8" s="321" t="s">
        <v>1972</v>
      </c>
      <c r="AJQ8" s="321" t="s">
        <v>1973</v>
      </c>
      <c r="AJR8" s="321" t="s">
        <v>1974</v>
      </c>
      <c r="AJS8" s="322" t="s">
        <v>1975</v>
      </c>
      <c r="AJT8" s="322" t="s">
        <v>1976</v>
      </c>
      <c r="AJU8" s="322" t="s">
        <v>1977</v>
      </c>
      <c r="AJV8" s="322" t="s">
        <v>1978</v>
      </c>
      <c r="AJW8" s="322" t="s">
        <v>1979</v>
      </c>
      <c r="AJX8" s="322" t="s">
        <v>1980</v>
      </c>
      <c r="AJY8" s="320" t="s">
        <v>1969</v>
      </c>
      <c r="AKF8" s="320" t="s">
        <v>1970</v>
      </c>
      <c r="AKS8" s="321" t="s">
        <v>1971</v>
      </c>
      <c r="AKT8" s="321" t="s">
        <v>1972</v>
      </c>
      <c r="AKU8" s="321" t="s">
        <v>1973</v>
      </c>
      <c r="AKV8" s="321" t="s">
        <v>1974</v>
      </c>
      <c r="AKW8" s="322" t="s">
        <v>1975</v>
      </c>
      <c r="AKX8" s="322" t="s">
        <v>1976</v>
      </c>
      <c r="AKY8" s="322" t="s">
        <v>1977</v>
      </c>
      <c r="AKZ8" s="322" t="s">
        <v>1978</v>
      </c>
      <c r="ALA8" s="322" t="s">
        <v>1979</v>
      </c>
      <c r="ALB8" s="322" t="s">
        <v>1980</v>
      </c>
      <c r="ALC8" s="320" t="s">
        <v>1969</v>
      </c>
      <c r="ALJ8" s="320" t="s">
        <v>1970</v>
      </c>
      <c r="ALW8" s="321" t="s">
        <v>1971</v>
      </c>
      <c r="ALX8" s="321" t="s">
        <v>1972</v>
      </c>
      <c r="ALY8" s="321" t="s">
        <v>1973</v>
      </c>
      <c r="ALZ8" s="321" t="s">
        <v>1974</v>
      </c>
      <c r="AMA8" s="322" t="s">
        <v>1975</v>
      </c>
      <c r="AMB8" s="322" t="s">
        <v>1976</v>
      </c>
      <c r="AMC8" s="322" t="s">
        <v>1977</v>
      </c>
      <c r="AMD8" s="322" t="s">
        <v>1978</v>
      </c>
      <c r="AME8" s="322" t="s">
        <v>1979</v>
      </c>
      <c r="AMF8" s="322" t="s">
        <v>1980</v>
      </c>
      <c r="AMG8" s="323" t="s">
        <v>1969</v>
      </c>
      <c r="AMH8" s="323"/>
      <c r="AMI8" s="323"/>
      <c r="AMJ8" s="323"/>
    </row>
    <row r="9" spans="1:1024" x14ac:dyDescent="0.2">
      <c r="A9" s="324">
        <f>AD2</f>
        <v>1</v>
      </c>
      <c r="B9" s="324"/>
      <c r="C9" s="324"/>
      <c r="D9" s="324"/>
      <c r="E9" s="324"/>
      <c r="F9" s="324"/>
      <c r="G9" s="324"/>
      <c r="H9" s="325" t="str">
        <f>MAL!H2</f>
        <v>M4</v>
      </c>
      <c r="I9" s="325"/>
      <c r="J9" s="325"/>
      <c r="K9" s="325"/>
      <c r="L9" s="325"/>
      <c r="M9" s="326" t="s">
        <v>1981</v>
      </c>
      <c r="N9" s="326"/>
      <c r="O9" s="326"/>
      <c r="P9" s="327" t="str">
        <f>MAL!I2</f>
        <v>W010240</v>
      </c>
      <c r="Q9" s="327"/>
      <c r="R9" s="327"/>
      <c r="S9" s="327"/>
      <c r="T9" s="327"/>
      <c r="U9" s="328"/>
      <c r="W9" s="329" t="s">
        <v>1982</v>
      </c>
      <c r="X9" s="329">
        <v>1</v>
      </c>
      <c r="AE9" s="324">
        <f>BH2</f>
        <v>2</v>
      </c>
      <c r="AF9" s="324"/>
      <c r="AG9" s="324"/>
      <c r="AH9" s="324"/>
      <c r="AI9" s="324"/>
      <c r="AJ9" s="324"/>
      <c r="AK9" s="324"/>
      <c r="AL9" s="330" t="str">
        <f>MAL!H3</f>
        <v>M4</v>
      </c>
      <c r="AM9" s="330"/>
      <c r="AN9" s="330"/>
      <c r="AO9" s="330"/>
      <c r="AP9" s="330"/>
      <c r="AQ9" s="331" t="s">
        <v>1981</v>
      </c>
      <c r="AR9" s="331"/>
      <c r="AS9" s="331"/>
      <c r="AT9" s="332" t="str">
        <f>MAL!I3</f>
        <v>W011008</v>
      </c>
      <c r="AU9" s="332"/>
      <c r="AV9" s="332"/>
      <c r="AW9" s="332"/>
      <c r="AX9" s="332"/>
      <c r="AY9" s="328"/>
      <c r="BA9" s="329" t="s">
        <v>1982</v>
      </c>
      <c r="BB9" s="329">
        <v>1</v>
      </c>
      <c r="BI9" s="324">
        <f>CL2</f>
        <v>1</v>
      </c>
      <c r="BJ9" s="324"/>
      <c r="BK9" s="324"/>
      <c r="BL9" s="324"/>
      <c r="BM9" s="324"/>
      <c r="BN9" s="324"/>
      <c r="BO9" s="324"/>
      <c r="BP9" s="330" t="str">
        <f>MAL!H2</f>
        <v>M4</v>
      </c>
      <c r="BQ9" s="330"/>
      <c r="BR9" s="330"/>
      <c r="BS9" s="330"/>
      <c r="BT9" s="330"/>
      <c r="BU9" s="331" t="s">
        <v>1981</v>
      </c>
      <c r="BV9" s="331"/>
      <c r="BW9" s="331"/>
      <c r="BX9" s="333" t="str">
        <f>MAL!I2</f>
        <v>W010240</v>
      </c>
      <c r="BY9" s="333"/>
      <c r="BZ9" s="333"/>
      <c r="CA9" s="333"/>
      <c r="CB9" s="333"/>
      <c r="CC9" s="328"/>
      <c r="CE9" s="329" t="s">
        <v>1982</v>
      </c>
      <c r="CF9" s="329">
        <v>1</v>
      </c>
      <c r="CM9" s="324">
        <f>DP2</f>
        <v>2</v>
      </c>
      <c r="CN9" s="324"/>
      <c r="CO9" s="324"/>
      <c r="CP9" s="324"/>
      <c r="CQ9" s="324"/>
      <c r="CR9" s="324"/>
      <c r="CS9" s="324"/>
      <c r="CT9" s="330" t="str">
        <f>MAL!H3</f>
        <v>M4</v>
      </c>
      <c r="CU9" s="330"/>
      <c r="CV9" s="330"/>
      <c r="CW9" s="330"/>
      <c r="CX9" s="330"/>
      <c r="CY9" s="331" t="s">
        <v>1981</v>
      </c>
      <c r="CZ9" s="331"/>
      <c r="DA9" s="331"/>
      <c r="DB9" s="333" t="str">
        <f>MAL!I3</f>
        <v>W011008</v>
      </c>
      <c r="DC9" s="333"/>
      <c r="DD9" s="333"/>
      <c r="DE9" s="333"/>
      <c r="DF9" s="333"/>
      <c r="DG9" s="328"/>
      <c r="DI9" s="329" t="s">
        <v>1982</v>
      </c>
      <c r="DJ9" s="329">
        <v>1</v>
      </c>
      <c r="DQ9" s="324" t="e">
        <f>ET2</f>
        <v>#VALUE!</v>
      </c>
      <c r="DR9" s="324"/>
      <c r="DS9" s="324"/>
      <c r="DT9" s="324"/>
      <c r="DU9" s="324"/>
      <c r="DV9" s="324"/>
      <c r="DW9" s="324"/>
      <c r="DX9" s="330" t="e">
        <f>#VALUE!</f>
        <v>#VALUE!</v>
      </c>
      <c r="DY9" s="330"/>
      <c r="DZ9" s="330"/>
      <c r="EA9" s="330"/>
      <c r="EB9" s="330"/>
      <c r="EC9" s="331" t="s">
        <v>1981</v>
      </c>
      <c r="ED9" s="331"/>
      <c r="EE9" s="331"/>
      <c r="EF9" s="333" t="e">
        <f>#VALUE!</f>
        <v>#VALUE!</v>
      </c>
      <c r="EG9" s="333"/>
      <c r="EH9" s="333"/>
      <c r="EI9" s="333"/>
      <c r="EJ9" s="333"/>
      <c r="EK9" s="328"/>
      <c r="EM9" s="329" t="s">
        <v>1982</v>
      </c>
      <c r="EN9" s="329">
        <v>1</v>
      </c>
      <c r="EU9" s="324" t="str">
        <f>FX2</f>
        <v>MAL (V2)'!E</v>
      </c>
      <c r="EV9" s="324"/>
      <c r="EW9" s="324"/>
      <c r="EX9" s="324"/>
      <c r="EY9" s="324"/>
      <c r="EZ9" s="324"/>
      <c r="FA9" s="324"/>
      <c r="FB9" s="330" t="s">
        <v>1983</v>
      </c>
      <c r="FC9" s="330"/>
      <c r="FD9" s="330"/>
      <c r="FE9" s="330"/>
      <c r="FF9" s="330"/>
      <c r="FG9" s="331" t="s">
        <v>1981</v>
      </c>
      <c r="FH9" s="331"/>
      <c r="FI9" s="331"/>
      <c r="FJ9" s="333" t="s">
        <v>1984</v>
      </c>
      <c r="FK9" s="333"/>
      <c r="FL9" s="333"/>
      <c r="FM9" s="333"/>
      <c r="FN9" s="333"/>
      <c r="FO9" s="328"/>
      <c r="FQ9" s="329" t="s">
        <v>1982</v>
      </c>
      <c r="FR9" s="329">
        <v>1</v>
      </c>
      <c r="FY9" s="324" t="str">
        <f>HB2</f>
        <v>MAL (V2)'!E</v>
      </c>
      <c r="FZ9" s="324"/>
      <c r="GA9" s="324"/>
      <c r="GB9" s="324"/>
      <c r="GC9" s="324"/>
      <c r="GD9" s="324"/>
      <c r="GE9" s="324"/>
      <c r="GF9" s="330" t="s">
        <v>1983</v>
      </c>
      <c r="GG9" s="330"/>
      <c r="GH9" s="330"/>
      <c r="GI9" s="330"/>
      <c r="GJ9" s="330"/>
      <c r="GK9" s="331" t="s">
        <v>1981</v>
      </c>
      <c r="GL9" s="331"/>
      <c r="GM9" s="331"/>
      <c r="GN9" s="333" t="s">
        <v>1984</v>
      </c>
      <c r="GO9" s="333"/>
      <c r="GP9" s="333"/>
      <c r="GQ9" s="333"/>
      <c r="GR9" s="333"/>
      <c r="GS9" s="328"/>
      <c r="GU9" s="329" t="s">
        <v>1982</v>
      </c>
      <c r="GV9" s="329">
        <v>1</v>
      </c>
      <c r="HC9" s="324">
        <f>IF2</f>
        <v>0</v>
      </c>
      <c r="HD9" s="324"/>
      <c r="HE9" s="324"/>
      <c r="HF9" s="324"/>
      <c r="HG9" s="324"/>
      <c r="HH9" s="324"/>
      <c r="HI9" s="324"/>
      <c r="HJ9" s="325">
        <f>MAL!HK2</f>
        <v>0</v>
      </c>
      <c r="HK9" s="325"/>
      <c r="HL9" s="325"/>
      <c r="HM9" s="325"/>
      <c r="HN9" s="325"/>
      <c r="HO9" s="326" t="s">
        <v>1981</v>
      </c>
      <c r="HP9" s="326"/>
      <c r="HQ9" s="326"/>
      <c r="HR9" s="327">
        <f>MAL!HL2</f>
        <v>0</v>
      </c>
      <c r="HS9" s="327"/>
      <c r="HT9" s="327"/>
      <c r="HU9" s="327"/>
      <c r="HV9" s="327"/>
      <c r="HW9" s="328"/>
      <c r="HY9" s="329" t="s">
        <v>1982</v>
      </c>
      <c r="HZ9" s="329">
        <v>1</v>
      </c>
      <c r="IG9" s="324" t="e">
        <f>JJ2</f>
        <v>#VALUE!</v>
      </c>
      <c r="IH9" s="324"/>
      <c r="II9" s="324"/>
      <c r="IJ9" s="324"/>
      <c r="IK9" s="324"/>
      <c r="IL9" s="324"/>
      <c r="IM9" s="324"/>
      <c r="IN9" s="330" t="e">
        <f>#VALUE!</f>
        <v>#VALUE!</v>
      </c>
      <c r="IO9" s="330"/>
      <c r="IP9" s="330"/>
      <c r="IQ9" s="330"/>
      <c r="IR9" s="330"/>
      <c r="IS9" s="331" t="s">
        <v>1981</v>
      </c>
      <c r="IT9" s="331"/>
      <c r="IU9" s="331"/>
      <c r="IV9" s="333" t="e">
        <f>#VALUE!</f>
        <v>#VALUE!</v>
      </c>
      <c r="IW9" s="333"/>
      <c r="IX9" s="333"/>
      <c r="IY9" s="333"/>
      <c r="IZ9" s="333"/>
      <c r="JA9" s="328"/>
      <c r="JC9" s="329" t="s">
        <v>1982</v>
      </c>
      <c r="JD9" s="329">
        <v>1</v>
      </c>
      <c r="JK9" s="324">
        <f>KN2</f>
        <v>0</v>
      </c>
      <c r="JL9" s="324"/>
      <c r="JM9" s="324"/>
      <c r="JN9" s="324"/>
      <c r="JO9" s="324"/>
      <c r="JP9" s="324"/>
      <c r="JQ9" s="324"/>
      <c r="JR9" s="330">
        <f>MAL!HK2</f>
        <v>0</v>
      </c>
      <c r="JS9" s="330"/>
      <c r="JT9" s="330"/>
      <c r="JU9" s="330"/>
      <c r="JV9" s="330"/>
      <c r="JW9" s="331" t="s">
        <v>1981</v>
      </c>
      <c r="JX9" s="331"/>
      <c r="JY9" s="331"/>
      <c r="JZ9" s="333">
        <f>MAL!HL2</f>
        <v>0</v>
      </c>
      <c r="KA9" s="333"/>
      <c r="KB9" s="333"/>
      <c r="KC9" s="333"/>
      <c r="KD9" s="333"/>
      <c r="KE9" s="328"/>
      <c r="KG9" s="329" t="s">
        <v>1982</v>
      </c>
      <c r="KH9" s="329">
        <v>1</v>
      </c>
      <c r="KO9" s="324">
        <f>LR2</f>
        <v>0</v>
      </c>
      <c r="KP9" s="324"/>
      <c r="KQ9" s="324"/>
      <c r="KR9" s="324"/>
      <c r="KS9" s="324"/>
      <c r="KT9" s="324"/>
      <c r="KU9" s="324"/>
      <c r="KV9" s="330">
        <f>MAL!HK3</f>
        <v>0</v>
      </c>
      <c r="KW9" s="330"/>
      <c r="KX9" s="330"/>
      <c r="KY9" s="330"/>
      <c r="KZ9" s="330"/>
      <c r="LA9" s="331" t="s">
        <v>1981</v>
      </c>
      <c r="LB9" s="331"/>
      <c r="LC9" s="331"/>
      <c r="LD9" s="333">
        <f>MAL!HL3</f>
        <v>0</v>
      </c>
      <c r="LE9" s="333"/>
      <c r="LF9" s="333"/>
      <c r="LG9" s="333"/>
      <c r="LH9" s="333"/>
      <c r="LI9" s="328"/>
      <c r="LK9" s="329" t="s">
        <v>1982</v>
      </c>
      <c r="LL9" s="329">
        <v>1</v>
      </c>
      <c r="LS9" s="324" t="e">
        <f>MV2</f>
        <v>#VALUE!</v>
      </c>
      <c r="LT9" s="324"/>
      <c r="LU9" s="324"/>
      <c r="LV9" s="324"/>
      <c r="LW9" s="324"/>
      <c r="LX9" s="324"/>
      <c r="LY9" s="324"/>
      <c r="LZ9" s="330" t="e">
        <f>#VALUE!</f>
        <v>#VALUE!</v>
      </c>
      <c r="MA9" s="330"/>
      <c r="MB9" s="330"/>
      <c r="MC9" s="330"/>
      <c r="MD9" s="330"/>
      <c r="ME9" s="331" t="s">
        <v>1981</v>
      </c>
      <c r="MF9" s="331"/>
      <c r="MG9" s="331"/>
      <c r="MH9" s="333" t="e">
        <f>#VALUE!</f>
        <v>#VALUE!</v>
      </c>
      <c r="MI9" s="333"/>
      <c r="MJ9" s="333"/>
      <c r="MK9" s="333"/>
      <c r="ML9" s="333"/>
      <c r="MM9" s="328"/>
      <c r="MO9" s="329" t="s">
        <v>1982</v>
      </c>
      <c r="MP9" s="329">
        <v>1</v>
      </c>
      <c r="MW9" s="324" t="str">
        <f>NZ2</f>
        <v>MAL (V2)'!E</v>
      </c>
      <c r="MX9" s="324"/>
      <c r="MY9" s="324"/>
      <c r="MZ9" s="324"/>
      <c r="NA9" s="324"/>
      <c r="NB9" s="324"/>
      <c r="NC9" s="324"/>
      <c r="ND9" s="330" t="s">
        <v>1983</v>
      </c>
      <c r="NE9" s="330"/>
      <c r="NF9" s="330"/>
      <c r="NG9" s="330"/>
      <c r="NH9" s="330"/>
      <c r="NI9" s="331" t="s">
        <v>1981</v>
      </c>
      <c r="NJ9" s="331"/>
      <c r="NK9" s="331"/>
      <c r="NL9" s="333" t="s">
        <v>1984</v>
      </c>
      <c r="NM9" s="333"/>
      <c r="NN9" s="333"/>
      <c r="NO9" s="333"/>
      <c r="NP9" s="333"/>
      <c r="NQ9" s="328"/>
      <c r="NS9" s="329" t="s">
        <v>1982</v>
      </c>
      <c r="NT9" s="329">
        <v>1</v>
      </c>
      <c r="OA9" s="324" t="str">
        <f>PD2</f>
        <v>MAL (V2)'!E</v>
      </c>
      <c r="OB9" s="324"/>
      <c r="OC9" s="324"/>
      <c r="OD9" s="324"/>
      <c r="OE9" s="324"/>
      <c r="OF9" s="324"/>
      <c r="OG9" s="324"/>
      <c r="OH9" s="330" t="s">
        <v>1983</v>
      </c>
      <c r="OI9" s="330"/>
      <c r="OJ9" s="330"/>
      <c r="OK9" s="330"/>
      <c r="OL9" s="330"/>
      <c r="OM9" s="331" t="s">
        <v>1981</v>
      </c>
      <c r="ON9" s="331"/>
      <c r="OO9" s="331"/>
      <c r="OP9" s="333" t="s">
        <v>1984</v>
      </c>
      <c r="OQ9" s="333"/>
      <c r="OR9" s="333"/>
      <c r="OS9" s="333"/>
      <c r="OT9" s="333"/>
      <c r="OU9" s="328"/>
      <c r="OW9" s="329" t="s">
        <v>1982</v>
      </c>
      <c r="OX9" s="329">
        <v>1</v>
      </c>
      <c r="PE9" s="324">
        <f>QH2</f>
        <v>0</v>
      </c>
      <c r="PF9" s="324"/>
      <c r="PG9" s="324"/>
      <c r="PH9" s="324"/>
      <c r="PI9" s="324"/>
      <c r="PJ9" s="324"/>
      <c r="PK9" s="324"/>
      <c r="PL9" s="325">
        <f>MAL!PM2</f>
        <v>0</v>
      </c>
      <c r="PM9" s="325"/>
      <c r="PN9" s="325"/>
      <c r="PO9" s="325"/>
      <c r="PP9" s="325"/>
      <c r="PQ9" s="326" t="s">
        <v>1981</v>
      </c>
      <c r="PR9" s="326"/>
      <c r="PS9" s="326"/>
      <c r="PT9" s="327">
        <f>MAL!PN2</f>
        <v>0</v>
      </c>
      <c r="PU9" s="327"/>
      <c r="PV9" s="327"/>
      <c r="PW9" s="327"/>
      <c r="PX9" s="327"/>
      <c r="PY9" s="328"/>
      <c r="QA9" s="329" t="s">
        <v>1982</v>
      </c>
      <c r="QB9" s="329">
        <v>1</v>
      </c>
      <c r="QI9" s="324" t="e">
        <f>RL2</f>
        <v>#VALUE!</v>
      </c>
      <c r="QJ9" s="324"/>
      <c r="QK9" s="324"/>
      <c r="QL9" s="324"/>
      <c r="QM9" s="324"/>
      <c r="QN9" s="324"/>
      <c r="QO9" s="324"/>
      <c r="QP9" s="330" t="e">
        <f>#VALUE!</f>
        <v>#VALUE!</v>
      </c>
      <c r="QQ9" s="330"/>
      <c r="QR9" s="330"/>
      <c r="QS9" s="330"/>
      <c r="QT9" s="330"/>
      <c r="QU9" s="331" t="s">
        <v>1981</v>
      </c>
      <c r="QV9" s="331"/>
      <c r="QW9" s="331"/>
      <c r="QX9" s="333" t="e">
        <f>#VALUE!</f>
        <v>#VALUE!</v>
      </c>
      <c r="QY9" s="333"/>
      <c r="QZ9" s="333"/>
      <c r="RA9" s="333"/>
      <c r="RB9" s="333"/>
      <c r="RC9" s="328"/>
      <c r="RE9" s="329" t="s">
        <v>1982</v>
      </c>
      <c r="RF9" s="329">
        <v>1</v>
      </c>
      <c r="RM9" s="324">
        <f>SP2</f>
        <v>0</v>
      </c>
      <c r="RN9" s="324"/>
      <c r="RO9" s="324"/>
      <c r="RP9" s="324"/>
      <c r="RQ9" s="324"/>
      <c r="RR9" s="324"/>
      <c r="RS9" s="324"/>
      <c r="RT9" s="330">
        <f>MAL!PM2</f>
        <v>0</v>
      </c>
      <c r="RU9" s="330"/>
      <c r="RV9" s="330"/>
      <c r="RW9" s="330"/>
      <c r="RX9" s="330"/>
      <c r="RY9" s="331" t="s">
        <v>1981</v>
      </c>
      <c r="RZ9" s="331"/>
      <c r="SA9" s="331"/>
      <c r="SB9" s="333">
        <f>MAL!PN2</f>
        <v>0</v>
      </c>
      <c r="SC9" s="333"/>
      <c r="SD9" s="333"/>
      <c r="SE9" s="333"/>
      <c r="SF9" s="333"/>
      <c r="SG9" s="328"/>
      <c r="SI9" s="329" t="s">
        <v>1982</v>
      </c>
      <c r="SJ9" s="329">
        <v>1</v>
      </c>
      <c r="SQ9" s="324">
        <f>TT2</f>
        <v>0</v>
      </c>
      <c r="SR9" s="324"/>
      <c r="SS9" s="324"/>
      <c r="ST9" s="324"/>
      <c r="SU9" s="324"/>
      <c r="SV9" s="324"/>
      <c r="SW9" s="324"/>
      <c r="SX9" s="330">
        <f>MAL!PM3</f>
        <v>0</v>
      </c>
      <c r="SY9" s="330"/>
      <c r="SZ9" s="330"/>
      <c r="TA9" s="330"/>
      <c r="TB9" s="330"/>
      <c r="TC9" s="331" t="s">
        <v>1981</v>
      </c>
      <c r="TD9" s="331"/>
      <c r="TE9" s="331"/>
      <c r="TF9" s="333">
        <f>MAL!PN3</f>
        <v>0</v>
      </c>
      <c r="TG9" s="333"/>
      <c r="TH9" s="333"/>
      <c r="TI9" s="333"/>
      <c r="TJ9" s="333"/>
      <c r="TK9" s="328"/>
      <c r="TM9" s="329" t="s">
        <v>1982</v>
      </c>
      <c r="TN9" s="329">
        <v>1</v>
      </c>
      <c r="TU9" s="324" t="e">
        <f>UX2</f>
        <v>#VALUE!</v>
      </c>
      <c r="TV9" s="324"/>
      <c r="TW9" s="324"/>
      <c r="TX9" s="324"/>
      <c r="TY9" s="324"/>
      <c r="TZ9" s="324"/>
      <c r="UA9" s="324"/>
      <c r="UB9" s="330" t="e">
        <f>#VALUE!</f>
        <v>#VALUE!</v>
      </c>
      <c r="UC9" s="330"/>
      <c r="UD9" s="330"/>
      <c r="UE9" s="330"/>
      <c r="UF9" s="330"/>
      <c r="UG9" s="331" t="s">
        <v>1981</v>
      </c>
      <c r="UH9" s="331"/>
      <c r="UI9" s="331"/>
      <c r="UJ9" s="333" t="e">
        <f>#VALUE!</f>
        <v>#VALUE!</v>
      </c>
      <c r="UK9" s="333"/>
      <c r="UL9" s="333"/>
      <c r="UM9" s="333"/>
      <c r="UN9" s="333"/>
      <c r="UO9" s="328"/>
      <c r="UQ9" s="329" t="s">
        <v>1982</v>
      </c>
      <c r="UR9" s="329">
        <v>1</v>
      </c>
      <c r="UY9" s="324" t="str">
        <f>WB2</f>
        <v>MAL (V2)'!E</v>
      </c>
      <c r="UZ9" s="324"/>
      <c r="VA9" s="324"/>
      <c r="VB9" s="324"/>
      <c r="VC9" s="324"/>
      <c r="VD9" s="324"/>
      <c r="VE9" s="324"/>
      <c r="VF9" s="330" t="s">
        <v>1983</v>
      </c>
      <c r="VG9" s="330"/>
      <c r="VH9" s="330"/>
      <c r="VI9" s="330"/>
      <c r="VJ9" s="330"/>
      <c r="VK9" s="331" t="s">
        <v>1981</v>
      </c>
      <c r="VL9" s="331"/>
      <c r="VM9" s="331"/>
      <c r="VN9" s="333" t="s">
        <v>1984</v>
      </c>
      <c r="VO9" s="333"/>
      <c r="VP9" s="333"/>
      <c r="VQ9" s="333"/>
      <c r="VR9" s="333"/>
      <c r="VS9" s="328"/>
      <c r="VU9" s="329" t="s">
        <v>1982</v>
      </c>
      <c r="VV9" s="329">
        <v>1</v>
      </c>
      <c r="WC9" s="324" t="str">
        <f>XF2</f>
        <v>MAL (V2)'!E</v>
      </c>
      <c r="WD9" s="324"/>
      <c r="WE9" s="324"/>
      <c r="WF9" s="324"/>
      <c r="WG9" s="324"/>
      <c r="WH9" s="324"/>
      <c r="WI9" s="324"/>
      <c r="WJ9" s="330" t="s">
        <v>1983</v>
      </c>
      <c r="WK9" s="330"/>
      <c r="WL9" s="330"/>
      <c r="WM9" s="330"/>
      <c r="WN9" s="330"/>
      <c r="WO9" s="331" t="s">
        <v>1981</v>
      </c>
      <c r="WP9" s="331"/>
      <c r="WQ9" s="331"/>
      <c r="WR9" s="333" t="s">
        <v>1984</v>
      </c>
      <c r="WS9" s="333"/>
      <c r="WT9" s="333"/>
      <c r="WU9" s="333"/>
      <c r="WV9" s="333"/>
      <c r="WW9" s="328"/>
      <c r="WY9" s="329" t="s">
        <v>1982</v>
      </c>
      <c r="WZ9" s="329">
        <v>1</v>
      </c>
      <c r="XG9" s="324">
        <f>YJ2</f>
        <v>0</v>
      </c>
      <c r="XH9" s="324"/>
      <c r="XI9" s="324"/>
      <c r="XJ9" s="324"/>
      <c r="XK9" s="324"/>
      <c r="XL9" s="324"/>
      <c r="XM9" s="324"/>
      <c r="XN9" s="325">
        <f>MAL!XO2</f>
        <v>0</v>
      </c>
      <c r="XO9" s="325"/>
      <c r="XP9" s="325"/>
      <c r="XQ9" s="325"/>
      <c r="XR9" s="325"/>
      <c r="XS9" s="326" t="s">
        <v>1981</v>
      </c>
      <c r="XT9" s="326"/>
      <c r="XU9" s="326"/>
      <c r="XV9" s="327">
        <f>MAL!XP2</f>
        <v>0</v>
      </c>
      <c r="XW9" s="327"/>
      <c r="XX9" s="327"/>
      <c r="XY9" s="327"/>
      <c r="XZ9" s="327"/>
      <c r="YA9" s="328"/>
      <c r="YC9" s="329" t="s">
        <v>1982</v>
      </c>
      <c r="YD9" s="329">
        <v>1</v>
      </c>
      <c r="YK9" s="324" t="e">
        <f>ZN2</f>
        <v>#VALUE!</v>
      </c>
      <c r="YL9" s="324"/>
      <c r="YM9" s="324"/>
      <c r="YN9" s="324"/>
      <c r="YO9" s="324"/>
      <c r="YP9" s="324"/>
      <c r="YQ9" s="324"/>
      <c r="YR9" s="330" t="e">
        <f>#VALUE!</f>
        <v>#VALUE!</v>
      </c>
      <c r="YS9" s="330"/>
      <c r="YT9" s="330"/>
      <c r="YU9" s="330"/>
      <c r="YV9" s="330"/>
      <c r="YW9" s="331" t="s">
        <v>1981</v>
      </c>
      <c r="YX9" s="331"/>
      <c r="YY9" s="331"/>
      <c r="YZ9" s="333" t="e">
        <f>#VALUE!</f>
        <v>#VALUE!</v>
      </c>
      <c r="ZA9" s="333"/>
      <c r="ZB9" s="333"/>
      <c r="ZC9" s="333"/>
      <c r="ZD9" s="333"/>
      <c r="ZE9" s="328"/>
      <c r="ZG9" s="329" t="s">
        <v>1982</v>
      </c>
      <c r="ZH9" s="329">
        <v>1</v>
      </c>
      <c r="ZO9" s="324">
        <f>AAR2</f>
        <v>0</v>
      </c>
      <c r="ZP9" s="324"/>
      <c r="ZQ9" s="324"/>
      <c r="ZR9" s="324"/>
      <c r="ZS9" s="324"/>
      <c r="ZT9" s="324"/>
      <c r="ZU9" s="324"/>
      <c r="ZV9" s="330">
        <f>MAL!XO2</f>
        <v>0</v>
      </c>
      <c r="ZW9" s="330"/>
      <c r="ZX9" s="330"/>
      <c r="ZY9" s="330"/>
      <c r="ZZ9" s="330"/>
      <c r="AAA9" s="331" t="s">
        <v>1981</v>
      </c>
      <c r="AAB9" s="331"/>
      <c r="AAC9" s="331"/>
      <c r="AAD9" s="333">
        <f>MAL!XP2</f>
        <v>0</v>
      </c>
      <c r="AAE9" s="333"/>
      <c r="AAF9" s="333"/>
      <c r="AAG9" s="333"/>
      <c r="AAH9" s="333"/>
      <c r="AAI9" s="328"/>
      <c r="AAK9" s="329" t="s">
        <v>1982</v>
      </c>
      <c r="AAL9" s="329">
        <v>1</v>
      </c>
      <c r="AAS9" s="324">
        <f>ABV2</f>
        <v>0</v>
      </c>
      <c r="AAT9" s="324"/>
      <c r="AAU9" s="324"/>
      <c r="AAV9" s="324"/>
      <c r="AAW9" s="324"/>
      <c r="AAX9" s="324"/>
      <c r="AAY9" s="324"/>
      <c r="AAZ9" s="330">
        <f>MAL!XO3</f>
        <v>0</v>
      </c>
      <c r="ABA9" s="330"/>
      <c r="ABB9" s="330"/>
      <c r="ABC9" s="330"/>
      <c r="ABD9" s="330"/>
      <c r="ABE9" s="331" t="s">
        <v>1981</v>
      </c>
      <c r="ABF9" s="331"/>
      <c r="ABG9" s="331"/>
      <c r="ABH9" s="333">
        <f>MAL!XP3</f>
        <v>0</v>
      </c>
      <c r="ABI9" s="333"/>
      <c r="ABJ9" s="333"/>
      <c r="ABK9" s="333"/>
      <c r="ABL9" s="333"/>
      <c r="ABM9" s="328"/>
      <c r="ABO9" s="329" t="s">
        <v>1982</v>
      </c>
      <c r="ABP9" s="329">
        <v>1</v>
      </c>
      <c r="ABW9" s="324" t="e">
        <f>ACZ2</f>
        <v>#VALUE!</v>
      </c>
      <c r="ABX9" s="324"/>
      <c r="ABY9" s="324"/>
      <c r="ABZ9" s="324"/>
      <c r="ACA9" s="324"/>
      <c r="ACB9" s="324"/>
      <c r="ACC9" s="324"/>
      <c r="ACD9" s="330" t="e">
        <f>#VALUE!</f>
        <v>#VALUE!</v>
      </c>
      <c r="ACE9" s="330"/>
      <c r="ACF9" s="330"/>
      <c r="ACG9" s="330"/>
      <c r="ACH9" s="330"/>
      <c r="ACI9" s="331" t="s">
        <v>1981</v>
      </c>
      <c r="ACJ9" s="331"/>
      <c r="ACK9" s="331"/>
      <c r="ACL9" s="333" t="e">
        <f>#VALUE!</f>
        <v>#VALUE!</v>
      </c>
      <c r="ACM9" s="333"/>
      <c r="ACN9" s="333"/>
      <c r="ACO9" s="333"/>
      <c r="ACP9" s="333"/>
      <c r="ACQ9" s="328"/>
      <c r="ACS9" s="329" t="s">
        <v>1982</v>
      </c>
      <c r="ACT9" s="329">
        <v>1</v>
      </c>
      <c r="ADA9" s="324" t="str">
        <f>AED2</f>
        <v>MAL (V2)'!E</v>
      </c>
      <c r="ADB9" s="324"/>
      <c r="ADC9" s="324"/>
      <c r="ADD9" s="324"/>
      <c r="ADE9" s="324"/>
      <c r="ADF9" s="324"/>
      <c r="ADG9" s="324"/>
      <c r="ADH9" s="330" t="s">
        <v>1983</v>
      </c>
      <c r="ADI9" s="330"/>
      <c r="ADJ9" s="330"/>
      <c r="ADK9" s="330"/>
      <c r="ADL9" s="330"/>
      <c r="ADM9" s="331" t="s">
        <v>1981</v>
      </c>
      <c r="ADN9" s="331"/>
      <c r="ADO9" s="331"/>
      <c r="ADP9" s="333" t="s">
        <v>1984</v>
      </c>
      <c r="ADQ9" s="333"/>
      <c r="ADR9" s="333"/>
      <c r="ADS9" s="333"/>
      <c r="ADT9" s="333"/>
      <c r="ADU9" s="328"/>
      <c r="ADW9" s="329" t="s">
        <v>1982</v>
      </c>
      <c r="ADX9" s="329">
        <v>1</v>
      </c>
      <c r="AEE9" s="324" t="str">
        <f>AFH2</f>
        <v>MAL (V2)'!E</v>
      </c>
      <c r="AEF9" s="324"/>
      <c r="AEG9" s="324"/>
      <c r="AEH9" s="324"/>
      <c r="AEI9" s="324"/>
      <c r="AEJ9" s="324"/>
      <c r="AEK9" s="324"/>
      <c r="AEL9" s="330" t="s">
        <v>1983</v>
      </c>
      <c r="AEM9" s="330"/>
      <c r="AEN9" s="330"/>
      <c r="AEO9" s="330"/>
      <c r="AEP9" s="330"/>
      <c r="AEQ9" s="331" t="s">
        <v>1981</v>
      </c>
      <c r="AER9" s="331"/>
      <c r="AES9" s="331"/>
      <c r="AET9" s="333" t="s">
        <v>1984</v>
      </c>
      <c r="AEU9" s="333"/>
      <c r="AEV9" s="333"/>
      <c r="AEW9" s="333"/>
      <c r="AEX9" s="333"/>
      <c r="AEY9" s="328"/>
      <c r="AFA9" s="329" t="s">
        <v>1982</v>
      </c>
      <c r="AFB9" s="329">
        <v>1</v>
      </c>
      <c r="AFI9" s="324">
        <f>AGL2</f>
        <v>0</v>
      </c>
      <c r="AFJ9" s="324"/>
      <c r="AFK9" s="324"/>
      <c r="AFL9" s="324"/>
      <c r="AFM9" s="324"/>
      <c r="AFN9" s="324"/>
      <c r="AFO9" s="324"/>
      <c r="AFP9" s="325">
        <f>MAL!AFQ2</f>
        <v>0</v>
      </c>
      <c r="AFQ9" s="325"/>
      <c r="AFR9" s="325"/>
      <c r="AFS9" s="325"/>
      <c r="AFT9" s="325"/>
      <c r="AFU9" s="326" t="s">
        <v>1981</v>
      </c>
      <c r="AFV9" s="326"/>
      <c r="AFW9" s="326"/>
      <c r="AFX9" s="327">
        <f>MAL!AFR2</f>
        <v>0</v>
      </c>
      <c r="AFY9" s="327"/>
      <c r="AFZ9" s="327"/>
      <c r="AGA9" s="327"/>
      <c r="AGB9" s="327"/>
      <c r="AGC9" s="328"/>
      <c r="AGE9" s="329" t="s">
        <v>1982</v>
      </c>
      <c r="AGF9" s="329">
        <v>1</v>
      </c>
      <c r="AGM9" s="324" t="e">
        <f>AHP2</f>
        <v>#VALUE!</v>
      </c>
      <c r="AGN9" s="324"/>
      <c r="AGO9" s="324"/>
      <c r="AGP9" s="324"/>
      <c r="AGQ9" s="324"/>
      <c r="AGR9" s="324"/>
      <c r="AGS9" s="324"/>
      <c r="AGT9" s="330" t="e">
        <f>#VALUE!</f>
        <v>#VALUE!</v>
      </c>
      <c r="AGU9" s="330"/>
      <c r="AGV9" s="330"/>
      <c r="AGW9" s="330"/>
      <c r="AGX9" s="330"/>
      <c r="AGY9" s="331" t="s">
        <v>1981</v>
      </c>
      <c r="AGZ9" s="331"/>
      <c r="AHA9" s="331"/>
      <c r="AHB9" s="333" t="e">
        <f>#VALUE!</f>
        <v>#VALUE!</v>
      </c>
      <c r="AHC9" s="333"/>
      <c r="AHD9" s="333"/>
      <c r="AHE9" s="333"/>
      <c r="AHF9" s="333"/>
      <c r="AHG9" s="328"/>
      <c r="AHI9" s="329" t="s">
        <v>1982</v>
      </c>
      <c r="AHJ9" s="329">
        <v>1</v>
      </c>
      <c r="AHQ9" s="324">
        <f>AIT2</f>
        <v>0</v>
      </c>
      <c r="AHR9" s="324"/>
      <c r="AHS9" s="324"/>
      <c r="AHT9" s="324"/>
      <c r="AHU9" s="324"/>
      <c r="AHV9" s="324"/>
      <c r="AHW9" s="324"/>
      <c r="AHX9" s="330">
        <f>MAL!AFQ2</f>
        <v>0</v>
      </c>
      <c r="AHY9" s="330"/>
      <c r="AHZ9" s="330"/>
      <c r="AIA9" s="330"/>
      <c r="AIB9" s="330"/>
      <c r="AIC9" s="331" t="s">
        <v>1981</v>
      </c>
      <c r="AID9" s="331"/>
      <c r="AIE9" s="331"/>
      <c r="AIF9" s="333">
        <f>MAL!AFR2</f>
        <v>0</v>
      </c>
      <c r="AIG9" s="333"/>
      <c r="AIH9" s="333"/>
      <c r="AII9" s="333"/>
      <c r="AIJ9" s="333"/>
      <c r="AIK9" s="328"/>
      <c r="AIM9" s="329" t="s">
        <v>1982</v>
      </c>
      <c r="AIN9" s="329">
        <v>1</v>
      </c>
      <c r="AIU9" s="324">
        <f>AJX2</f>
        <v>0</v>
      </c>
      <c r="AIV9" s="324"/>
      <c r="AIW9" s="324"/>
      <c r="AIX9" s="324"/>
      <c r="AIY9" s="324"/>
      <c r="AIZ9" s="324"/>
      <c r="AJA9" s="324"/>
      <c r="AJB9" s="330">
        <f>MAL!AFQ3</f>
        <v>0</v>
      </c>
      <c r="AJC9" s="330"/>
      <c r="AJD9" s="330"/>
      <c r="AJE9" s="330"/>
      <c r="AJF9" s="330"/>
      <c r="AJG9" s="331" t="s">
        <v>1981</v>
      </c>
      <c r="AJH9" s="331"/>
      <c r="AJI9" s="331"/>
      <c r="AJJ9" s="333">
        <f>MAL!AFR3</f>
        <v>0</v>
      </c>
      <c r="AJK9" s="333"/>
      <c r="AJL9" s="333"/>
      <c r="AJM9" s="333"/>
      <c r="AJN9" s="333"/>
      <c r="AJO9" s="328"/>
      <c r="AJQ9" s="329" t="s">
        <v>1982</v>
      </c>
      <c r="AJR9" s="329">
        <v>1</v>
      </c>
      <c r="AJY9" s="324" t="e">
        <f>ALB2</f>
        <v>#VALUE!</v>
      </c>
      <c r="AJZ9" s="324"/>
      <c r="AKA9" s="324"/>
      <c r="AKB9" s="324"/>
      <c r="AKC9" s="324"/>
      <c r="AKD9" s="324"/>
      <c r="AKE9" s="324"/>
      <c r="AKF9" s="330" t="e">
        <f>#VALUE!</f>
        <v>#VALUE!</v>
      </c>
      <c r="AKG9" s="330"/>
      <c r="AKH9" s="330"/>
      <c r="AKI9" s="330"/>
      <c r="AKJ9" s="330"/>
      <c r="AKK9" s="331" t="s">
        <v>1981</v>
      </c>
      <c r="AKL9" s="331"/>
      <c r="AKM9" s="331"/>
      <c r="AKN9" s="333" t="e">
        <f>#VALUE!</f>
        <v>#VALUE!</v>
      </c>
      <c r="AKO9" s="333"/>
      <c r="AKP9" s="333"/>
      <c r="AKQ9" s="333"/>
      <c r="AKR9" s="333"/>
      <c r="AKS9" s="328"/>
      <c r="AKU9" s="329" t="s">
        <v>1982</v>
      </c>
      <c r="AKV9" s="329">
        <v>1</v>
      </c>
      <c r="ALC9" s="324" t="str">
        <f>AMF2</f>
        <v>MAL (V2)'!E</v>
      </c>
      <c r="ALD9" s="324"/>
      <c r="ALE9" s="324"/>
      <c r="ALF9" s="324"/>
      <c r="ALG9" s="324"/>
      <c r="ALH9" s="324"/>
      <c r="ALI9" s="324"/>
      <c r="ALJ9" s="330" t="s">
        <v>1983</v>
      </c>
      <c r="ALK9" s="330"/>
      <c r="ALL9" s="330"/>
      <c r="ALM9" s="330"/>
      <c r="ALN9" s="330"/>
      <c r="ALO9" s="331" t="s">
        <v>1981</v>
      </c>
      <c r="ALP9" s="331"/>
      <c r="ALQ9" s="331"/>
      <c r="ALR9" s="333" t="s">
        <v>1984</v>
      </c>
      <c r="ALS9" s="333"/>
      <c r="ALT9" s="333"/>
      <c r="ALU9" s="333"/>
      <c r="ALV9" s="333"/>
      <c r="ALW9" s="328"/>
      <c r="ALY9" s="329" t="s">
        <v>1982</v>
      </c>
      <c r="ALZ9" s="329">
        <v>1</v>
      </c>
      <c r="AMG9" s="334">
        <f>ANJ2</f>
        <v>0</v>
      </c>
      <c r="AMH9" s="334"/>
      <c r="AMI9" s="334"/>
      <c r="AMJ9" s="334"/>
    </row>
    <row r="10" spans="1:1024" x14ac:dyDescent="0.2">
      <c r="A10" s="335"/>
      <c r="B10" s="335"/>
      <c r="C10" s="335"/>
      <c r="D10" s="335"/>
      <c r="E10" s="335"/>
      <c r="F10" s="335"/>
      <c r="G10" s="335"/>
      <c r="H10" s="336" t="e">
        <f>#VALUE!</f>
        <v>#VALUE!</v>
      </c>
      <c r="I10" s="336"/>
      <c r="J10" s="336"/>
      <c r="K10" s="336"/>
      <c r="L10" s="336"/>
      <c r="M10" s="326" t="s">
        <v>1981</v>
      </c>
      <c r="N10" s="326"/>
      <c r="O10" s="326"/>
      <c r="P10" s="327" t="e">
        <f>#VALUE!</f>
        <v>#VALUE!</v>
      </c>
      <c r="Q10" s="327"/>
      <c r="R10" s="327"/>
      <c r="S10" s="327"/>
      <c r="T10" s="327"/>
      <c r="U10" s="337"/>
      <c r="W10" s="338" t="s">
        <v>1982</v>
      </c>
      <c r="X10" s="338">
        <v>1</v>
      </c>
      <c r="AE10" s="339"/>
      <c r="AF10" s="339"/>
      <c r="AG10" s="339"/>
      <c r="AH10" s="339"/>
      <c r="AI10" s="339"/>
      <c r="AJ10" s="339"/>
      <c r="AK10" s="339"/>
      <c r="AL10" s="330" t="str">
        <f>MAL!J9</f>
        <v>ACOG</v>
      </c>
      <c r="AM10" s="330"/>
      <c r="AN10" s="330"/>
      <c r="AO10" s="330"/>
      <c r="AP10" s="330"/>
      <c r="AQ10" s="331" t="s">
        <v>1981</v>
      </c>
      <c r="AR10" s="331"/>
      <c r="AS10" s="331"/>
      <c r="AT10" s="332" t="str">
        <f>MAL!K9</f>
        <v>766525/077896</v>
      </c>
      <c r="AU10" s="332"/>
      <c r="AV10" s="332"/>
      <c r="AW10" s="332"/>
      <c r="AX10" s="332"/>
      <c r="AY10" s="337"/>
      <c r="BA10" s="338" t="s">
        <v>1982</v>
      </c>
      <c r="BB10" s="338">
        <v>1</v>
      </c>
      <c r="BI10" s="339"/>
      <c r="BJ10" s="339"/>
      <c r="BK10" s="339"/>
      <c r="BL10" s="339"/>
      <c r="BM10" s="339"/>
      <c r="BN10" s="339"/>
      <c r="BO10" s="339"/>
      <c r="BP10" s="340" t="str">
        <f>MAL!J2</f>
        <v>ACOG</v>
      </c>
      <c r="BQ10" s="340"/>
      <c r="BR10" s="340"/>
      <c r="BS10" s="340"/>
      <c r="BT10" s="340"/>
      <c r="BU10" s="331" t="s">
        <v>1981</v>
      </c>
      <c r="BV10" s="331"/>
      <c r="BW10" s="331"/>
      <c r="BX10" s="333" t="str">
        <f>MAL!K2</f>
        <v>766522/077943</v>
      </c>
      <c r="BY10" s="333"/>
      <c r="BZ10" s="333"/>
      <c r="CA10" s="333"/>
      <c r="CB10" s="333"/>
      <c r="CC10" s="337"/>
      <c r="CE10" s="338" t="s">
        <v>1982</v>
      </c>
      <c r="CF10" s="338">
        <v>1</v>
      </c>
      <c r="CM10" s="339"/>
      <c r="CN10" s="339"/>
      <c r="CO10" s="339"/>
      <c r="CP10" s="339"/>
      <c r="CQ10" s="339"/>
      <c r="CR10" s="339"/>
      <c r="CS10" s="339"/>
      <c r="CT10" s="340" t="str">
        <f>MAL!J9</f>
        <v>ACOG</v>
      </c>
      <c r="CU10" s="340"/>
      <c r="CV10" s="340"/>
      <c r="CW10" s="340"/>
      <c r="CX10" s="340"/>
      <c r="CY10" s="331" t="s">
        <v>1981</v>
      </c>
      <c r="CZ10" s="331"/>
      <c r="DA10" s="331"/>
      <c r="DB10" s="333" t="str">
        <f>MAL!K9</f>
        <v>766525/077896</v>
      </c>
      <c r="DC10" s="333"/>
      <c r="DD10" s="333"/>
      <c r="DE10" s="333"/>
      <c r="DF10" s="333"/>
      <c r="DG10" s="337"/>
      <c r="DI10" s="338" t="s">
        <v>1982</v>
      </c>
      <c r="DJ10" s="338">
        <v>1</v>
      </c>
      <c r="DQ10" s="339"/>
      <c r="DR10" s="339"/>
      <c r="DS10" s="339"/>
      <c r="DT10" s="339"/>
      <c r="DU10" s="339"/>
      <c r="DV10" s="339"/>
      <c r="DW10" s="339"/>
      <c r="DX10" s="340" t="e">
        <f>#VALUE!</f>
        <v>#VALUE!</v>
      </c>
      <c r="DY10" s="340"/>
      <c r="DZ10" s="340"/>
      <c r="EA10" s="340"/>
      <c r="EB10" s="340"/>
      <c r="EC10" s="331" t="s">
        <v>1981</v>
      </c>
      <c r="ED10" s="331"/>
      <c r="EE10" s="331"/>
      <c r="EF10" s="333" t="e">
        <f>#VALUE!</f>
        <v>#VALUE!</v>
      </c>
      <c r="EG10" s="333"/>
      <c r="EH10" s="333"/>
      <c r="EI10" s="333"/>
      <c r="EJ10" s="333"/>
      <c r="EK10" s="337"/>
      <c r="EM10" s="338" t="s">
        <v>1982</v>
      </c>
      <c r="EN10" s="338">
        <v>1</v>
      </c>
      <c r="EU10" s="339"/>
      <c r="EV10" s="339"/>
      <c r="EW10" s="339"/>
      <c r="EX10" s="339"/>
      <c r="EY10" s="339"/>
      <c r="EZ10" s="339"/>
      <c r="FA10" s="339"/>
      <c r="FB10" s="340" t="s">
        <v>1985</v>
      </c>
      <c r="FC10" s="340"/>
      <c r="FD10" s="340"/>
      <c r="FE10" s="340"/>
      <c r="FF10" s="340"/>
      <c r="FG10" s="331" t="s">
        <v>1981</v>
      </c>
      <c r="FH10" s="331"/>
      <c r="FI10" s="331"/>
      <c r="FJ10" s="333" t="s">
        <v>1986</v>
      </c>
      <c r="FK10" s="333"/>
      <c r="FL10" s="333"/>
      <c r="FM10" s="333"/>
      <c r="FN10" s="333"/>
      <c r="FO10" s="337"/>
      <c r="FQ10" s="338" t="s">
        <v>1982</v>
      </c>
      <c r="FR10" s="338">
        <v>1</v>
      </c>
      <c r="FY10" s="339"/>
      <c r="FZ10" s="339"/>
      <c r="GA10" s="339"/>
      <c r="GB10" s="339"/>
      <c r="GC10" s="339"/>
      <c r="GD10" s="339"/>
      <c r="GE10" s="339"/>
      <c r="GF10" s="340" t="s">
        <v>1985</v>
      </c>
      <c r="GG10" s="340"/>
      <c r="GH10" s="340"/>
      <c r="GI10" s="340"/>
      <c r="GJ10" s="340"/>
      <c r="GK10" s="331" t="s">
        <v>1981</v>
      </c>
      <c r="GL10" s="331"/>
      <c r="GM10" s="331"/>
      <c r="GN10" s="333" t="s">
        <v>1986</v>
      </c>
      <c r="GO10" s="333"/>
      <c r="GP10" s="333"/>
      <c r="GQ10" s="333"/>
      <c r="GR10" s="333"/>
      <c r="GS10" s="337"/>
      <c r="GU10" s="338" t="s">
        <v>1982</v>
      </c>
      <c r="GV10" s="338">
        <v>1</v>
      </c>
      <c r="HC10" s="335"/>
      <c r="HD10" s="335"/>
      <c r="HE10" s="335"/>
      <c r="HF10" s="335"/>
      <c r="HG10" s="335"/>
      <c r="HH10" s="335"/>
      <c r="HI10" s="335"/>
      <c r="HJ10" s="336" t="e">
        <f>#VALUE!</f>
        <v>#VALUE!</v>
      </c>
      <c r="HK10" s="336"/>
      <c r="HL10" s="336"/>
      <c r="HM10" s="336"/>
      <c r="HN10" s="336"/>
      <c r="HO10" s="326" t="s">
        <v>1981</v>
      </c>
      <c r="HP10" s="326"/>
      <c r="HQ10" s="326"/>
      <c r="HR10" s="327" t="e">
        <f>#VALUE!</f>
        <v>#VALUE!</v>
      </c>
      <c r="HS10" s="327"/>
      <c r="HT10" s="327"/>
      <c r="HU10" s="327"/>
      <c r="HV10" s="327"/>
      <c r="HW10" s="337"/>
      <c r="HY10" s="338" t="s">
        <v>1982</v>
      </c>
      <c r="HZ10" s="338">
        <v>1</v>
      </c>
      <c r="IG10" s="339"/>
      <c r="IH10" s="339"/>
      <c r="II10" s="339"/>
      <c r="IJ10" s="339"/>
      <c r="IK10" s="339"/>
      <c r="IL10" s="339"/>
      <c r="IM10" s="339"/>
      <c r="IN10" s="340" t="e">
        <f>#VALUE!</f>
        <v>#VALUE!</v>
      </c>
      <c r="IO10" s="340"/>
      <c r="IP10" s="340"/>
      <c r="IQ10" s="340"/>
      <c r="IR10" s="340"/>
      <c r="IS10" s="331" t="s">
        <v>1981</v>
      </c>
      <c r="IT10" s="331"/>
      <c r="IU10" s="331"/>
      <c r="IV10" s="333" t="e">
        <f>#VALUE!</f>
        <v>#VALUE!</v>
      </c>
      <c r="IW10" s="333"/>
      <c r="IX10" s="333"/>
      <c r="IY10" s="333"/>
      <c r="IZ10" s="333"/>
      <c r="JA10" s="337"/>
      <c r="JC10" s="338" t="s">
        <v>1982</v>
      </c>
      <c r="JD10" s="338">
        <v>1</v>
      </c>
      <c r="JK10" s="339"/>
      <c r="JL10" s="339"/>
      <c r="JM10" s="339"/>
      <c r="JN10" s="339"/>
      <c r="JO10" s="339"/>
      <c r="JP10" s="339"/>
      <c r="JQ10" s="339"/>
      <c r="JR10" s="340">
        <f>MAL!HM2</f>
        <v>0</v>
      </c>
      <c r="JS10" s="340"/>
      <c r="JT10" s="340"/>
      <c r="JU10" s="340"/>
      <c r="JV10" s="340"/>
      <c r="JW10" s="331" t="s">
        <v>1981</v>
      </c>
      <c r="JX10" s="331"/>
      <c r="JY10" s="331"/>
      <c r="JZ10" s="333">
        <f>MAL!HN2</f>
        <v>0</v>
      </c>
      <c r="KA10" s="333"/>
      <c r="KB10" s="333"/>
      <c r="KC10" s="333"/>
      <c r="KD10" s="333"/>
      <c r="KE10" s="337"/>
      <c r="KG10" s="338" t="s">
        <v>1982</v>
      </c>
      <c r="KH10" s="338">
        <v>1</v>
      </c>
      <c r="KO10" s="339"/>
      <c r="KP10" s="339"/>
      <c r="KQ10" s="339"/>
      <c r="KR10" s="339"/>
      <c r="KS10" s="339"/>
      <c r="KT10" s="339"/>
      <c r="KU10" s="339"/>
      <c r="KV10" s="340">
        <f>MAL!HM3</f>
        <v>0</v>
      </c>
      <c r="KW10" s="340"/>
      <c r="KX10" s="340"/>
      <c r="KY10" s="340"/>
      <c r="KZ10" s="340"/>
      <c r="LA10" s="331" t="s">
        <v>1981</v>
      </c>
      <c r="LB10" s="331"/>
      <c r="LC10" s="331"/>
      <c r="LD10" s="333">
        <f>MAL!HN3</f>
        <v>0</v>
      </c>
      <c r="LE10" s="333"/>
      <c r="LF10" s="333"/>
      <c r="LG10" s="333"/>
      <c r="LH10" s="333"/>
      <c r="LI10" s="337"/>
      <c r="LK10" s="338" t="s">
        <v>1982</v>
      </c>
      <c r="LL10" s="338">
        <v>1</v>
      </c>
      <c r="LS10" s="339"/>
      <c r="LT10" s="339"/>
      <c r="LU10" s="339"/>
      <c r="LV10" s="339"/>
      <c r="LW10" s="339"/>
      <c r="LX10" s="339"/>
      <c r="LY10" s="339"/>
      <c r="LZ10" s="340" t="e">
        <f>#VALUE!</f>
        <v>#VALUE!</v>
      </c>
      <c r="MA10" s="340"/>
      <c r="MB10" s="340"/>
      <c r="MC10" s="340"/>
      <c r="MD10" s="340"/>
      <c r="ME10" s="331" t="s">
        <v>1981</v>
      </c>
      <c r="MF10" s="331"/>
      <c r="MG10" s="331"/>
      <c r="MH10" s="333" t="e">
        <f>#VALUE!</f>
        <v>#VALUE!</v>
      </c>
      <c r="MI10" s="333"/>
      <c r="MJ10" s="333"/>
      <c r="MK10" s="333"/>
      <c r="ML10" s="333"/>
      <c r="MM10" s="337"/>
      <c r="MO10" s="338" t="s">
        <v>1982</v>
      </c>
      <c r="MP10" s="338">
        <v>1</v>
      </c>
      <c r="MW10" s="339"/>
      <c r="MX10" s="339"/>
      <c r="MY10" s="339"/>
      <c r="MZ10" s="339"/>
      <c r="NA10" s="339"/>
      <c r="NB10" s="339"/>
      <c r="NC10" s="339"/>
      <c r="ND10" s="340" t="s">
        <v>1985</v>
      </c>
      <c r="NE10" s="340"/>
      <c r="NF10" s="340"/>
      <c r="NG10" s="340"/>
      <c r="NH10" s="340"/>
      <c r="NI10" s="331" t="s">
        <v>1981</v>
      </c>
      <c r="NJ10" s="331"/>
      <c r="NK10" s="331"/>
      <c r="NL10" s="333" t="s">
        <v>1986</v>
      </c>
      <c r="NM10" s="333"/>
      <c r="NN10" s="333"/>
      <c r="NO10" s="333"/>
      <c r="NP10" s="333"/>
      <c r="NQ10" s="337"/>
      <c r="NS10" s="338" t="s">
        <v>1982</v>
      </c>
      <c r="NT10" s="338">
        <v>1</v>
      </c>
      <c r="OA10" s="339"/>
      <c r="OB10" s="339"/>
      <c r="OC10" s="339"/>
      <c r="OD10" s="339"/>
      <c r="OE10" s="339"/>
      <c r="OF10" s="339"/>
      <c r="OG10" s="339"/>
      <c r="OH10" s="340" t="s">
        <v>1985</v>
      </c>
      <c r="OI10" s="340"/>
      <c r="OJ10" s="340"/>
      <c r="OK10" s="340"/>
      <c r="OL10" s="340"/>
      <c r="OM10" s="331" t="s">
        <v>1981</v>
      </c>
      <c r="ON10" s="331"/>
      <c r="OO10" s="331"/>
      <c r="OP10" s="333" t="s">
        <v>1986</v>
      </c>
      <c r="OQ10" s="333"/>
      <c r="OR10" s="333"/>
      <c r="OS10" s="333"/>
      <c r="OT10" s="333"/>
      <c r="OU10" s="337"/>
      <c r="OW10" s="338" t="s">
        <v>1982</v>
      </c>
      <c r="OX10" s="338">
        <v>1</v>
      </c>
      <c r="PE10" s="335"/>
      <c r="PF10" s="335"/>
      <c r="PG10" s="335"/>
      <c r="PH10" s="335"/>
      <c r="PI10" s="335"/>
      <c r="PJ10" s="335"/>
      <c r="PK10" s="335"/>
      <c r="PL10" s="336" t="e">
        <f>#VALUE!</f>
        <v>#VALUE!</v>
      </c>
      <c r="PM10" s="336"/>
      <c r="PN10" s="336"/>
      <c r="PO10" s="336"/>
      <c r="PP10" s="336"/>
      <c r="PQ10" s="326" t="s">
        <v>1981</v>
      </c>
      <c r="PR10" s="326"/>
      <c r="PS10" s="326"/>
      <c r="PT10" s="327" t="e">
        <f>#VALUE!</f>
        <v>#VALUE!</v>
      </c>
      <c r="PU10" s="327"/>
      <c r="PV10" s="327"/>
      <c r="PW10" s="327"/>
      <c r="PX10" s="327"/>
      <c r="PY10" s="337"/>
      <c r="QA10" s="338" t="s">
        <v>1982</v>
      </c>
      <c r="QB10" s="338">
        <v>1</v>
      </c>
      <c r="QI10" s="339"/>
      <c r="QJ10" s="339"/>
      <c r="QK10" s="339"/>
      <c r="QL10" s="339"/>
      <c r="QM10" s="339"/>
      <c r="QN10" s="339"/>
      <c r="QO10" s="339"/>
      <c r="QP10" s="340" t="e">
        <f>#VALUE!</f>
        <v>#VALUE!</v>
      </c>
      <c r="QQ10" s="340"/>
      <c r="QR10" s="340"/>
      <c r="QS10" s="340"/>
      <c r="QT10" s="340"/>
      <c r="QU10" s="331" t="s">
        <v>1981</v>
      </c>
      <c r="QV10" s="331"/>
      <c r="QW10" s="331"/>
      <c r="QX10" s="333" t="e">
        <f>#VALUE!</f>
        <v>#VALUE!</v>
      </c>
      <c r="QY10" s="333"/>
      <c r="QZ10" s="333"/>
      <c r="RA10" s="333"/>
      <c r="RB10" s="333"/>
      <c r="RC10" s="337"/>
      <c r="RE10" s="338" t="s">
        <v>1982</v>
      </c>
      <c r="RF10" s="338">
        <v>1</v>
      </c>
      <c r="RM10" s="339"/>
      <c r="RN10" s="339"/>
      <c r="RO10" s="339"/>
      <c r="RP10" s="339"/>
      <c r="RQ10" s="339"/>
      <c r="RR10" s="339"/>
      <c r="RS10" s="339"/>
      <c r="RT10" s="340">
        <f>MAL!PO2</f>
        <v>0</v>
      </c>
      <c r="RU10" s="340"/>
      <c r="RV10" s="340"/>
      <c r="RW10" s="340"/>
      <c r="RX10" s="340"/>
      <c r="RY10" s="331" t="s">
        <v>1981</v>
      </c>
      <c r="RZ10" s="331"/>
      <c r="SA10" s="331"/>
      <c r="SB10" s="333">
        <f>MAL!PP2</f>
        <v>0</v>
      </c>
      <c r="SC10" s="333"/>
      <c r="SD10" s="333"/>
      <c r="SE10" s="333"/>
      <c r="SF10" s="333"/>
      <c r="SG10" s="337"/>
      <c r="SI10" s="338" t="s">
        <v>1982</v>
      </c>
      <c r="SJ10" s="338">
        <v>1</v>
      </c>
      <c r="SQ10" s="339"/>
      <c r="SR10" s="339"/>
      <c r="SS10" s="339"/>
      <c r="ST10" s="339"/>
      <c r="SU10" s="339"/>
      <c r="SV10" s="339"/>
      <c r="SW10" s="339"/>
      <c r="SX10" s="340">
        <f>MAL!PO3</f>
        <v>0</v>
      </c>
      <c r="SY10" s="340"/>
      <c r="SZ10" s="340"/>
      <c r="TA10" s="340"/>
      <c r="TB10" s="340"/>
      <c r="TC10" s="331" t="s">
        <v>1981</v>
      </c>
      <c r="TD10" s="331"/>
      <c r="TE10" s="331"/>
      <c r="TF10" s="333">
        <f>MAL!PP3</f>
        <v>0</v>
      </c>
      <c r="TG10" s="333"/>
      <c r="TH10" s="333"/>
      <c r="TI10" s="333"/>
      <c r="TJ10" s="333"/>
      <c r="TK10" s="337"/>
      <c r="TM10" s="338" t="s">
        <v>1982</v>
      </c>
      <c r="TN10" s="338">
        <v>1</v>
      </c>
      <c r="TU10" s="339"/>
      <c r="TV10" s="339"/>
      <c r="TW10" s="339"/>
      <c r="TX10" s="339"/>
      <c r="TY10" s="339"/>
      <c r="TZ10" s="339"/>
      <c r="UA10" s="339"/>
      <c r="UB10" s="340" t="e">
        <f>#VALUE!</f>
        <v>#VALUE!</v>
      </c>
      <c r="UC10" s="340"/>
      <c r="UD10" s="340"/>
      <c r="UE10" s="340"/>
      <c r="UF10" s="340"/>
      <c r="UG10" s="331" t="s">
        <v>1981</v>
      </c>
      <c r="UH10" s="331"/>
      <c r="UI10" s="331"/>
      <c r="UJ10" s="333" t="e">
        <f>#VALUE!</f>
        <v>#VALUE!</v>
      </c>
      <c r="UK10" s="333"/>
      <c r="UL10" s="333"/>
      <c r="UM10" s="333"/>
      <c r="UN10" s="333"/>
      <c r="UO10" s="337"/>
      <c r="UQ10" s="338" t="s">
        <v>1982</v>
      </c>
      <c r="UR10" s="338">
        <v>1</v>
      </c>
      <c r="UY10" s="339"/>
      <c r="UZ10" s="339"/>
      <c r="VA10" s="339"/>
      <c r="VB10" s="339"/>
      <c r="VC10" s="339"/>
      <c r="VD10" s="339"/>
      <c r="VE10" s="339"/>
      <c r="VF10" s="340" t="s">
        <v>1985</v>
      </c>
      <c r="VG10" s="340"/>
      <c r="VH10" s="340"/>
      <c r="VI10" s="340"/>
      <c r="VJ10" s="340"/>
      <c r="VK10" s="331" t="s">
        <v>1981</v>
      </c>
      <c r="VL10" s="331"/>
      <c r="VM10" s="331"/>
      <c r="VN10" s="333" t="s">
        <v>1986</v>
      </c>
      <c r="VO10" s="333"/>
      <c r="VP10" s="333"/>
      <c r="VQ10" s="333"/>
      <c r="VR10" s="333"/>
      <c r="VS10" s="337"/>
      <c r="VU10" s="338" t="s">
        <v>1982</v>
      </c>
      <c r="VV10" s="338">
        <v>1</v>
      </c>
      <c r="WC10" s="339"/>
      <c r="WD10" s="339"/>
      <c r="WE10" s="339"/>
      <c r="WF10" s="339"/>
      <c r="WG10" s="339"/>
      <c r="WH10" s="339"/>
      <c r="WI10" s="339"/>
      <c r="WJ10" s="340" t="s">
        <v>1985</v>
      </c>
      <c r="WK10" s="340"/>
      <c r="WL10" s="340"/>
      <c r="WM10" s="340"/>
      <c r="WN10" s="340"/>
      <c r="WO10" s="331" t="s">
        <v>1981</v>
      </c>
      <c r="WP10" s="331"/>
      <c r="WQ10" s="331"/>
      <c r="WR10" s="333" t="s">
        <v>1986</v>
      </c>
      <c r="WS10" s="333"/>
      <c r="WT10" s="333"/>
      <c r="WU10" s="333"/>
      <c r="WV10" s="333"/>
      <c r="WW10" s="337"/>
      <c r="WY10" s="338" t="s">
        <v>1982</v>
      </c>
      <c r="WZ10" s="338">
        <v>1</v>
      </c>
      <c r="XG10" s="335"/>
      <c r="XH10" s="335"/>
      <c r="XI10" s="335"/>
      <c r="XJ10" s="335"/>
      <c r="XK10" s="335"/>
      <c r="XL10" s="335"/>
      <c r="XM10" s="335"/>
      <c r="XN10" s="336" t="e">
        <f>#VALUE!</f>
        <v>#VALUE!</v>
      </c>
      <c r="XO10" s="336"/>
      <c r="XP10" s="336"/>
      <c r="XQ10" s="336"/>
      <c r="XR10" s="336"/>
      <c r="XS10" s="326" t="s">
        <v>1981</v>
      </c>
      <c r="XT10" s="326"/>
      <c r="XU10" s="326"/>
      <c r="XV10" s="327" t="e">
        <f>#VALUE!</f>
        <v>#VALUE!</v>
      </c>
      <c r="XW10" s="327"/>
      <c r="XX10" s="327"/>
      <c r="XY10" s="327"/>
      <c r="XZ10" s="327"/>
      <c r="YA10" s="337"/>
      <c r="YC10" s="338" t="s">
        <v>1982</v>
      </c>
      <c r="YD10" s="338">
        <v>1</v>
      </c>
      <c r="YK10" s="339"/>
      <c r="YL10" s="339"/>
      <c r="YM10" s="339"/>
      <c r="YN10" s="339"/>
      <c r="YO10" s="339"/>
      <c r="YP10" s="339"/>
      <c r="YQ10" s="339"/>
      <c r="YR10" s="340" t="e">
        <f>#VALUE!</f>
        <v>#VALUE!</v>
      </c>
      <c r="YS10" s="340"/>
      <c r="YT10" s="340"/>
      <c r="YU10" s="340"/>
      <c r="YV10" s="340"/>
      <c r="YW10" s="331" t="s">
        <v>1981</v>
      </c>
      <c r="YX10" s="331"/>
      <c r="YY10" s="331"/>
      <c r="YZ10" s="333" t="e">
        <f>#VALUE!</f>
        <v>#VALUE!</v>
      </c>
      <c r="ZA10" s="333"/>
      <c r="ZB10" s="333"/>
      <c r="ZC10" s="333"/>
      <c r="ZD10" s="333"/>
      <c r="ZE10" s="337"/>
      <c r="ZG10" s="338" t="s">
        <v>1982</v>
      </c>
      <c r="ZH10" s="338">
        <v>1</v>
      </c>
      <c r="ZO10" s="339"/>
      <c r="ZP10" s="339"/>
      <c r="ZQ10" s="339"/>
      <c r="ZR10" s="339"/>
      <c r="ZS10" s="339"/>
      <c r="ZT10" s="339"/>
      <c r="ZU10" s="339"/>
      <c r="ZV10" s="340">
        <f>MAL!XQ2</f>
        <v>0</v>
      </c>
      <c r="ZW10" s="340"/>
      <c r="ZX10" s="340"/>
      <c r="ZY10" s="340"/>
      <c r="ZZ10" s="340"/>
      <c r="AAA10" s="331" t="s">
        <v>1981</v>
      </c>
      <c r="AAB10" s="331"/>
      <c r="AAC10" s="331"/>
      <c r="AAD10" s="333">
        <f>MAL!XR2</f>
        <v>0</v>
      </c>
      <c r="AAE10" s="333"/>
      <c r="AAF10" s="333"/>
      <c r="AAG10" s="333"/>
      <c r="AAH10" s="333"/>
      <c r="AAI10" s="337"/>
      <c r="AAK10" s="338" t="s">
        <v>1982</v>
      </c>
      <c r="AAL10" s="338">
        <v>1</v>
      </c>
      <c r="AAS10" s="339"/>
      <c r="AAT10" s="339"/>
      <c r="AAU10" s="339"/>
      <c r="AAV10" s="339"/>
      <c r="AAW10" s="339"/>
      <c r="AAX10" s="339"/>
      <c r="AAY10" s="339"/>
      <c r="AAZ10" s="340">
        <f>MAL!XQ3</f>
        <v>0</v>
      </c>
      <c r="ABA10" s="340"/>
      <c r="ABB10" s="340"/>
      <c r="ABC10" s="340"/>
      <c r="ABD10" s="340"/>
      <c r="ABE10" s="331" t="s">
        <v>1981</v>
      </c>
      <c r="ABF10" s="331"/>
      <c r="ABG10" s="331"/>
      <c r="ABH10" s="333">
        <f>MAL!XR3</f>
        <v>0</v>
      </c>
      <c r="ABI10" s="333"/>
      <c r="ABJ10" s="333"/>
      <c r="ABK10" s="333"/>
      <c r="ABL10" s="333"/>
      <c r="ABM10" s="337"/>
      <c r="ABO10" s="338" t="s">
        <v>1982</v>
      </c>
      <c r="ABP10" s="338">
        <v>1</v>
      </c>
      <c r="ABW10" s="339"/>
      <c r="ABX10" s="339"/>
      <c r="ABY10" s="339"/>
      <c r="ABZ10" s="339"/>
      <c r="ACA10" s="339"/>
      <c r="ACB10" s="339"/>
      <c r="ACC10" s="339"/>
      <c r="ACD10" s="340" t="e">
        <f>#VALUE!</f>
        <v>#VALUE!</v>
      </c>
      <c r="ACE10" s="340"/>
      <c r="ACF10" s="340"/>
      <c r="ACG10" s="340"/>
      <c r="ACH10" s="340"/>
      <c r="ACI10" s="331" t="s">
        <v>1981</v>
      </c>
      <c r="ACJ10" s="331"/>
      <c r="ACK10" s="331"/>
      <c r="ACL10" s="333" t="e">
        <f>#VALUE!</f>
        <v>#VALUE!</v>
      </c>
      <c r="ACM10" s="333"/>
      <c r="ACN10" s="333"/>
      <c r="ACO10" s="333"/>
      <c r="ACP10" s="333"/>
      <c r="ACQ10" s="337"/>
      <c r="ACS10" s="338" t="s">
        <v>1982</v>
      </c>
      <c r="ACT10" s="338">
        <v>1</v>
      </c>
      <c r="ADA10" s="339"/>
      <c r="ADB10" s="339"/>
      <c r="ADC10" s="339"/>
      <c r="ADD10" s="339"/>
      <c r="ADE10" s="339"/>
      <c r="ADF10" s="339"/>
      <c r="ADG10" s="339"/>
      <c r="ADH10" s="340" t="s">
        <v>1985</v>
      </c>
      <c r="ADI10" s="340"/>
      <c r="ADJ10" s="340"/>
      <c r="ADK10" s="340"/>
      <c r="ADL10" s="340"/>
      <c r="ADM10" s="331" t="s">
        <v>1981</v>
      </c>
      <c r="ADN10" s="331"/>
      <c r="ADO10" s="331"/>
      <c r="ADP10" s="333" t="s">
        <v>1986</v>
      </c>
      <c r="ADQ10" s="333"/>
      <c r="ADR10" s="333"/>
      <c r="ADS10" s="333"/>
      <c r="ADT10" s="333"/>
      <c r="ADU10" s="337"/>
      <c r="ADW10" s="338" t="s">
        <v>1982</v>
      </c>
      <c r="ADX10" s="338">
        <v>1</v>
      </c>
      <c r="AEE10" s="339"/>
      <c r="AEF10" s="339"/>
      <c r="AEG10" s="339"/>
      <c r="AEH10" s="339"/>
      <c r="AEI10" s="339"/>
      <c r="AEJ10" s="339"/>
      <c r="AEK10" s="339"/>
      <c r="AEL10" s="340" t="s">
        <v>1985</v>
      </c>
      <c r="AEM10" s="340"/>
      <c r="AEN10" s="340"/>
      <c r="AEO10" s="340"/>
      <c r="AEP10" s="340"/>
      <c r="AEQ10" s="331" t="s">
        <v>1981</v>
      </c>
      <c r="AER10" s="331"/>
      <c r="AES10" s="331"/>
      <c r="AET10" s="333" t="s">
        <v>1986</v>
      </c>
      <c r="AEU10" s="333"/>
      <c r="AEV10" s="333"/>
      <c r="AEW10" s="333"/>
      <c r="AEX10" s="333"/>
      <c r="AEY10" s="337"/>
      <c r="AFA10" s="338" t="s">
        <v>1982</v>
      </c>
      <c r="AFB10" s="338">
        <v>1</v>
      </c>
      <c r="AFI10" s="335"/>
      <c r="AFJ10" s="335"/>
      <c r="AFK10" s="335"/>
      <c r="AFL10" s="335"/>
      <c r="AFM10" s="335"/>
      <c r="AFN10" s="335"/>
      <c r="AFO10" s="335"/>
      <c r="AFP10" s="336" t="e">
        <f>#VALUE!</f>
        <v>#VALUE!</v>
      </c>
      <c r="AFQ10" s="336"/>
      <c r="AFR10" s="336"/>
      <c r="AFS10" s="336"/>
      <c r="AFT10" s="336"/>
      <c r="AFU10" s="326" t="s">
        <v>1981</v>
      </c>
      <c r="AFV10" s="326"/>
      <c r="AFW10" s="326"/>
      <c r="AFX10" s="327" t="e">
        <f>#VALUE!</f>
        <v>#VALUE!</v>
      </c>
      <c r="AFY10" s="327"/>
      <c r="AFZ10" s="327"/>
      <c r="AGA10" s="327"/>
      <c r="AGB10" s="327"/>
      <c r="AGC10" s="337"/>
      <c r="AGE10" s="338" t="s">
        <v>1982</v>
      </c>
      <c r="AGF10" s="338">
        <v>1</v>
      </c>
      <c r="AGM10" s="339"/>
      <c r="AGN10" s="339"/>
      <c r="AGO10" s="339"/>
      <c r="AGP10" s="339"/>
      <c r="AGQ10" s="339"/>
      <c r="AGR10" s="339"/>
      <c r="AGS10" s="339"/>
      <c r="AGT10" s="340" t="e">
        <f>#VALUE!</f>
        <v>#VALUE!</v>
      </c>
      <c r="AGU10" s="340"/>
      <c r="AGV10" s="340"/>
      <c r="AGW10" s="340"/>
      <c r="AGX10" s="340"/>
      <c r="AGY10" s="331" t="s">
        <v>1981</v>
      </c>
      <c r="AGZ10" s="331"/>
      <c r="AHA10" s="331"/>
      <c r="AHB10" s="333" t="e">
        <f>#VALUE!</f>
        <v>#VALUE!</v>
      </c>
      <c r="AHC10" s="333"/>
      <c r="AHD10" s="333"/>
      <c r="AHE10" s="333"/>
      <c r="AHF10" s="333"/>
      <c r="AHG10" s="337"/>
      <c r="AHI10" s="338" t="s">
        <v>1982</v>
      </c>
      <c r="AHJ10" s="338">
        <v>1</v>
      </c>
      <c r="AHQ10" s="339"/>
      <c r="AHR10" s="339"/>
      <c r="AHS10" s="339"/>
      <c r="AHT10" s="339"/>
      <c r="AHU10" s="339"/>
      <c r="AHV10" s="339"/>
      <c r="AHW10" s="339"/>
      <c r="AHX10" s="340">
        <f>MAL!AFS2</f>
        <v>0</v>
      </c>
      <c r="AHY10" s="340"/>
      <c r="AHZ10" s="340"/>
      <c r="AIA10" s="340"/>
      <c r="AIB10" s="340"/>
      <c r="AIC10" s="331" t="s">
        <v>1981</v>
      </c>
      <c r="AID10" s="331"/>
      <c r="AIE10" s="331"/>
      <c r="AIF10" s="333">
        <f>MAL!AFT2</f>
        <v>0</v>
      </c>
      <c r="AIG10" s="333"/>
      <c r="AIH10" s="333"/>
      <c r="AII10" s="333"/>
      <c r="AIJ10" s="333"/>
      <c r="AIK10" s="337"/>
      <c r="AIM10" s="338" t="s">
        <v>1982</v>
      </c>
      <c r="AIN10" s="338">
        <v>1</v>
      </c>
      <c r="AIU10" s="339"/>
      <c r="AIV10" s="339"/>
      <c r="AIW10" s="339"/>
      <c r="AIX10" s="339"/>
      <c r="AIY10" s="339"/>
      <c r="AIZ10" s="339"/>
      <c r="AJA10" s="339"/>
      <c r="AJB10" s="340">
        <f>MAL!AFS3</f>
        <v>0</v>
      </c>
      <c r="AJC10" s="340"/>
      <c r="AJD10" s="340"/>
      <c r="AJE10" s="340"/>
      <c r="AJF10" s="340"/>
      <c r="AJG10" s="331" t="s">
        <v>1981</v>
      </c>
      <c r="AJH10" s="331"/>
      <c r="AJI10" s="331"/>
      <c r="AJJ10" s="333">
        <f>MAL!AFT3</f>
        <v>0</v>
      </c>
      <c r="AJK10" s="333"/>
      <c r="AJL10" s="333"/>
      <c r="AJM10" s="333"/>
      <c r="AJN10" s="333"/>
      <c r="AJO10" s="337"/>
      <c r="AJQ10" s="338" t="s">
        <v>1982</v>
      </c>
      <c r="AJR10" s="338">
        <v>1</v>
      </c>
      <c r="AJY10" s="339"/>
      <c r="AJZ10" s="339"/>
      <c r="AKA10" s="339"/>
      <c r="AKB10" s="339"/>
      <c r="AKC10" s="339"/>
      <c r="AKD10" s="339"/>
      <c r="AKE10" s="339"/>
      <c r="AKF10" s="340" t="e">
        <f>#VALUE!</f>
        <v>#VALUE!</v>
      </c>
      <c r="AKG10" s="340"/>
      <c r="AKH10" s="340"/>
      <c r="AKI10" s="340"/>
      <c r="AKJ10" s="340"/>
      <c r="AKK10" s="331" t="s">
        <v>1981</v>
      </c>
      <c r="AKL10" s="331"/>
      <c r="AKM10" s="331"/>
      <c r="AKN10" s="333" t="e">
        <f>#VALUE!</f>
        <v>#VALUE!</v>
      </c>
      <c r="AKO10" s="333"/>
      <c r="AKP10" s="333"/>
      <c r="AKQ10" s="333"/>
      <c r="AKR10" s="333"/>
      <c r="AKS10" s="337"/>
      <c r="AKU10" s="338" t="s">
        <v>1982</v>
      </c>
      <c r="AKV10" s="338">
        <v>1</v>
      </c>
      <c r="ALC10" s="339"/>
      <c r="ALD10" s="339"/>
      <c r="ALE10" s="339"/>
      <c r="ALF10" s="339"/>
      <c r="ALG10" s="339"/>
      <c r="ALH10" s="339"/>
      <c r="ALI10" s="339"/>
      <c r="ALJ10" s="340" t="s">
        <v>1985</v>
      </c>
      <c r="ALK10" s="340"/>
      <c r="ALL10" s="340"/>
      <c r="ALM10" s="340"/>
      <c r="ALN10" s="340"/>
      <c r="ALO10" s="331" t="s">
        <v>1981</v>
      </c>
      <c r="ALP10" s="331"/>
      <c r="ALQ10" s="331"/>
      <c r="ALR10" s="333" t="s">
        <v>1986</v>
      </c>
      <c r="ALS10" s="333"/>
      <c r="ALT10" s="333"/>
      <c r="ALU10" s="333"/>
      <c r="ALV10" s="333"/>
      <c r="ALW10" s="337"/>
      <c r="ALY10" s="338" t="s">
        <v>1982</v>
      </c>
      <c r="ALZ10" s="338">
        <v>1</v>
      </c>
      <c r="AMG10" s="335"/>
      <c r="AMH10" s="335"/>
      <c r="AMI10" s="335"/>
      <c r="AMJ10" s="335"/>
    </row>
    <row r="11" spans="1:1024" x14ac:dyDescent="0.2">
      <c r="A11" s="335"/>
      <c r="B11" s="335"/>
      <c r="C11" s="335"/>
      <c r="D11" s="335"/>
      <c r="E11" s="335"/>
      <c r="F11" s="335"/>
      <c r="G11" s="335"/>
      <c r="H11" s="336" t="str">
        <f>MAL!L2</f>
        <v>PEQ-15</v>
      </c>
      <c r="I11" s="336"/>
      <c r="J11" s="336"/>
      <c r="K11" s="336"/>
      <c r="L11" s="336"/>
      <c r="M11" s="326" t="s">
        <v>1981</v>
      </c>
      <c r="N11" s="326"/>
      <c r="O11" s="326"/>
      <c r="P11" s="341" t="e">
        <f>#VALUE!</f>
        <v>#VALUE!</v>
      </c>
      <c r="Q11" s="341"/>
      <c r="R11" s="341"/>
      <c r="S11" s="341"/>
      <c r="T11" s="341"/>
      <c r="U11" s="337"/>
      <c r="W11" s="338" t="s">
        <v>1982</v>
      </c>
      <c r="X11" s="338">
        <v>1</v>
      </c>
      <c r="AE11" s="339"/>
      <c r="AF11" s="339"/>
      <c r="AG11" s="339"/>
      <c r="AH11" s="339"/>
      <c r="AI11" s="339"/>
      <c r="AJ11" s="339"/>
      <c r="AK11" s="339"/>
      <c r="AL11" s="340" t="str">
        <f>MAL!L3</f>
        <v>PEQ-15</v>
      </c>
      <c r="AM11" s="340"/>
      <c r="AN11" s="340"/>
      <c r="AO11" s="340"/>
      <c r="AP11" s="340"/>
      <c r="AQ11" s="331" t="s">
        <v>1981</v>
      </c>
      <c r="AR11" s="331"/>
      <c r="AS11" s="331"/>
      <c r="AT11" s="341" t="str">
        <f>MAL!M3</f>
        <v>439044</v>
      </c>
      <c r="AU11" s="341"/>
      <c r="AV11" s="341"/>
      <c r="AW11" s="341"/>
      <c r="AX11" s="341"/>
      <c r="AY11" s="337"/>
      <c r="BA11" s="338" t="s">
        <v>1982</v>
      </c>
      <c r="BB11" s="338">
        <v>1</v>
      </c>
      <c r="BI11" s="339"/>
      <c r="BJ11" s="339"/>
      <c r="BK11" s="339"/>
      <c r="BL11" s="339"/>
      <c r="BM11" s="339"/>
      <c r="BN11" s="339"/>
      <c r="BO11" s="339"/>
      <c r="BP11" s="340" t="str">
        <f>MAL!L2</f>
        <v>PEQ-15</v>
      </c>
      <c r="BQ11" s="340"/>
      <c r="BR11" s="340"/>
      <c r="BS11" s="340"/>
      <c r="BT11" s="340"/>
      <c r="BU11" s="331" t="s">
        <v>1981</v>
      </c>
      <c r="BV11" s="331"/>
      <c r="BW11" s="331"/>
      <c r="BX11" s="341" t="str">
        <f>MAL!M2</f>
        <v>239025</v>
      </c>
      <c r="BY11" s="341"/>
      <c r="BZ11" s="341"/>
      <c r="CA11" s="341"/>
      <c r="CB11" s="341"/>
      <c r="CC11" s="337"/>
      <c r="CE11" s="338" t="s">
        <v>1982</v>
      </c>
      <c r="CF11" s="338">
        <v>1</v>
      </c>
      <c r="CM11" s="339"/>
      <c r="CN11" s="339"/>
      <c r="CO11" s="339"/>
      <c r="CP11" s="339"/>
      <c r="CQ11" s="339"/>
      <c r="CR11" s="339"/>
      <c r="CS11" s="339"/>
      <c r="CT11" s="340" t="str">
        <f>MAL!L3</f>
        <v>PEQ-15</v>
      </c>
      <c r="CU11" s="340"/>
      <c r="CV11" s="340"/>
      <c r="CW11" s="340"/>
      <c r="CX11" s="340"/>
      <c r="CY11" s="331" t="s">
        <v>1981</v>
      </c>
      <c r="CZ11" s="331"/>
      <c r="DA11" s="331"/>
      <c r="DB11" s="341" t="str">
        <f>MAL!M3</f>
        <v>439044</v>
      </c>
      <c r="DC11" s="341"/>
      <c r="DD11" s="341"/>
      <c r="DE11" s="341"/>
      <c r="DF11" s="341"/>
      <c r="DG11" s="337"/>
      <c r="DI11" s="338" t="s">
        <v>1982</v>
      </c>
      <c r="DJ11" s="338">
        <v>1</v>
      </c>
      <c r="DQ11" s="339"/>
      <c r="DR11" s="339"/>
      <c r="DS11" s="339"/>
      <c r="DT11" s="339"/>
      <c r="DU11" s="339"/>
      <c r="DV11" s="339"/>
      <c r="DW11" s="339"/>
      <c r="DX11" s="340" t="e">
        <f>#VALUE!</f>
        <v>#VALUE!</v>
      </c>
      <c r="DY11" s="340"/>
      <c r="DZ11" s="340"/>
      <c r="EA11" s="340"/>
      <c r="EB11" s="340"/>
      <c r="EC11" s="331" t="s">
        <v>1981</v>
      </c>
      <c r="ED11" s="331"/>
      <c r="EE11" s="331"/>
      <c r="EF11" s="341" t="e">
        <f>#VALUE!</f>
        <v>#VALUE!</v>
      </c>
      <c r="EG11" s="341"/>
      <c r="EH11" s="341"/>
      <c r="EI11" s="341"/>
      <c r="EJ11" s="341"/>
      <c r="EK11" s="337"/>
      <c r="EM11" s="338" t="s">
        <v>1982</v>
      </c>
      <c r="EN11" s="338">
        <v>1</v>
      </c>
      <c r="EU11" s="339"/>
      <c r="EV11" s="339"/>
      <c r="EW11" s="339"/>
      <c r="EX11" s="339"/>
      <c r="EY11" s="339"/>
      <c r="EZ11" s="339"/>
      <c r="FA11" s="339"/>
      <c r="FB11" s="340" t="s">
        <v>1987</v>
      </c>
      <c r="FC11" s="340"/>
      <c r="FD11" s="340"/>
      <c r="FE11" s="340"/>
      <c r="FF11" s="340"/>
      <c r="FG11" s="331" t="s">
        <v>1981</v>
      </c>
      <c r="FH11" s="331"/>
      <c r="FI11" s="331"/>
      <c r="FJ11" s="341" t="s">
        <v>1988</v>
      </c>
      <c r="FK11" s="341"/>
      <c r="FL11" s="341"/>
      <c r="FM11" s="341"/>
      <c r="FN11" s="341"/>
      <c r="FO11" s="337"/>
      <c r="FQ11" s="338" t="s">
        <v>1982</v>
      </c>
      <c r="FR11" s="338">
        <v>1</v>
      </c>
      <c r="FY11" s="339"/>
      <c r="FZ11" s="339"/>
      <c r="GA11" s="339"/>
      <c r="GB11" s="339"/>
      <c r="GC11" s="339"/>
      <c r="GD11" s="339"/>
      <c r="GE11" s="339"/>
      <c r="GF11" s="340" t="s">
        <v>1987</v>
      </c>
      <c r="GG11" s="340"/>
      <c r="GH11" s="340"/>
      <c r="GI11" s="340"/>
      <c r="GJ11" s="340"/>
      <c r="GK11" s="331" t="s">
        <v>1981</v>
      </c>
      <c r="GL11" s="331"/>
      <c r="GM11" s="331"/>
      <c r="GN11" s="341" t="s">
        <v>1988</v>
      </c>
      <c r="GO11" s="341"/>
      <c r="GP11" s="341"/>
      <c r="GQ11" s="341"/>
      <c r="GR11" s="341"/>
      <c r="GS11" s="337"/>
      <c r="GU11" s="338" t="s">
        <v>1982</v>
      </c>
      <c r="GV11" s="338">
        <v>1</v>
      </c>
      <c r="HC11" s="335"/>
      <c r="HD11" s="335"/>
      <c r="HE11" s="335"/>
      <c r="HF11" s="335"/>
      <c r="HG11" s="335"/>
      <c r="HH11" s="335"/>
      <c r="HI11" s="335"/>
      <c r="HJ11" s="336">
        <f>MAL!HO2</f>
        <v>0</v>
      </c>
      <c r="HK11" s="336"/>
      <c r="HL11" s="336"/>
      <c r="HM11" s="336"/>
      <c r="HN11" s="336"/>
      <c r="HO11" s="326" t="s">
        <v>1981</v>
      </c>
      <c r="HP11" s="326"/>
      <c r="HQ11" s="326"/>
      <c r="HR11" s="341" t="e">
        <f>#VALUE!</f>
        <v>#VALUE!</v>
      </c>
      <c r="HS11" s="341"/>
      <c r="HT11" s="341"/>
      <c r="HU11" s="341"/>
      <c r="HV11" s="341"/>
      <c r="HW11" s="337"/>
      <c r="HY11" s="338" t="s">
        <v>1982</v>
      </c>
      <c r="HZ11" s="338">
        <v>1</v>
      </c>
      <c r="IG11" s="339"/>
      <c r="IH11" s="339"/>
      <c r="II11" s="339"/>
      <c r="IJ11" s="339"/>
      <c r="IK11" s="339"/>
      <c r="IL11" s="339"/>
      <c r="IM11" s="339"/>
      <c r="IN11" s="340" t="e">
        <f>#VALUE!</f>
        <v>#VALUE!</v>
      </c>
      <c r="IO11" s="340"/>
      <c r="IP11" s="340"/>
      <c r="IQ11" s="340"/>
      <c r="IR11" s="340"/>
      <c r="IS11" s="331" t="s">
        <v>1981</v>
      </c>
      <c r="IT11" s="331"/>
      <c r="IU11" s="331"/>
      <c r="IV11" s="341" t="e">
        <f>#VALUE!</f>
        <v>#VALUE!</v>
      </c>
      <c r="IW11" s="341"/>
      <c r="IX11" s="341"/>
      <c r="IY11" s="341"/>
      <c r="IZ11" s="341"/>
      <c r="JA11" s="337"/>
      <c r="JC11" s="338" t="s">
        <v>1982</v>
      </c>
      <c r="JD11" s="338">
        <v>1</v>
      </c>
      <c r="JK11" s="339"/>
      <c r="JL11" s="339"/>
      <c r="JM11" s="339"/>
      <c r="JN11" s="339"/>
      <c r="JO11" s="339"/>
      <c r="JP11" s="339"/>
      <c r="JQ11" s="339"/>
      <c r="JR11" s="340">
        <f>MAL!HO2</f>
        <v>0</v>
      </c>
      <c r="JS11" s="340"/>
      <c r="JT11" s="340"/>
      <c r="JU11" s="340"/>
      <c r="JV11" s="340"/>
      <c r="JW11" s="331" t="s">
        <v>1981</v>
      </c>
      <c r="JX11" s="331"/>
      <c r="JY11" s="331"/>
      <c r="JZ11" s="341">
        <f>MAL!HP2</f>
        <v>0</v>
      </c>
      <c r="KA11" s="341"/>
      <c r="KB11" s="341"/>
      <c r="KC11" s="341"/>
      <c r="KD11" s="341"/>
      <c r="KE11" s="337"/>
      <c r="KG11" s="338" t="s">
        <v>1982</v>
      </c>
      <c r="KH11" s="338">
        <v>1</v>
      </c>
      <c r="KO11" s="339"/>
      <c r="KP11" s="339"/>
      <c r="KQ11" s="339"/>
      <c r="KR11" s="339"/>
      <c r="KS11" s="339"/>
      <c r="KT11" s="339"/>
      <c r="KU11" s="339"/>
      <c r="KV11" s="340">
        <f>MAL!HO3</f>
        <v>0</v>
      </c>
      <c r="KW11" s="340"/>
      <c r="KX11" s="340"/>
      <c r="KY11" s="340"/>
      <c r="KZ11" s="340"/>
      <c r="LA11" s="331" t="s">
        <v>1981</v>
      </c>
      <c r="LB11" s="331"/>
      <c r="LC11" s="331"/>
      <c r="LD11" s="341">
        <f>MAL!HP3</f>
        <v>0</v>
      </c>
      <c r="LE11" s="341"/>
      <c r="LF11" s="341"/>
      <c r="LG11" s="341"/>
      <c r="LH11" s="341"/>
      <c r="LI11" s="337"/>
      <c r="LK11" s="338" t="s">
        <v>1982</v>
      </c>
      <c r="LL11" s="338">
        <v>1</v>
      </c>
      <c r="LS11" s="339"/>
      <c r="LT11" s="339"/>
      <c r="LU11" s="339"/>
      <c r="LV11" s="339"/>
      <c r="LW11" s="339"/>
      <c r="LX11" s="339"/>
      <c r="LY11" s="339"/>
      <c r="LZ11" s="340" t="e">
        <f>#VALUE!</f>
        <v>#VALUE!</v>
      </c>
      <c r="MA11" s="340"/>
      <c r="MB11" s="340"/>
      <c r="MC11" s="340"/>
      <c r="MD11" s="340"/>
      <c r="ME11" s="331" t="s">
        <v>1981</v>
      </c>
      <c r="MF11" s="331"/>
      <c r="MG11" s="331"/>
      <c r="MH11" s="341" t="e">
        <f>#VALUE!</f>
        <v>#VALUE!</v>
      </c>
      <c r="MI11" s="341"/>
      <c r="MJ11" s="341"/>
      <c r="MK11" s="341"/>
      <c r="ML11" s="341"/>
      <c r="MM11" s="337"/>
      <c r="MO11" s="338" t="s">
        <v>1982</v>
      </c>
      <c r="MP11" s="338">
        <v>1</v>
      </c>
      <c r="MW11" s="339"/>
      <c r="MX11" s="339"/>
      <c r="MY11" s="339"/>
      <c r="MZ11" s="339"/>
      <c r="NA11" s="339"/>
      <c r="NB11" s="339"/>
      <c r="NC11" s="339"/>
      <c r="ND11" s="340" t="s">
        <v>1987</v>
      </c>
      <c r="NE11" s="340"/>
      <c r="NF11" s="340"/>
      <c r="NG11" s="340"/>
      <c r="NH11" s="340"/>
      <c r="NI11" s="331" t="s">
        <v>1981</v>
      </c>
      <c r="NJ11" s="331"/>
      <c r="NK11" s="331"/>
      <c r="NL11" s="341" t="s">
        <v>1988</v>
      </c>
      <c r="NM11" s="341"/>
      <c r="NN11" s="341"/>
      <c r="NO11" s="341"/>
      <c r="NP11" s="341"/>
      <c r="NQ11" s="337"/>
      <c r="NS11" s="338" t="s">
        <v>1982</v>
      </c>
      <c r="NT11" s="338">
        <v>1</v>
      </c>
      <c r="OA11" s="339"/>
      <c r="OB11" s="339"/>
      <c r="OC11" s="339"/>
      <c r="OD11" s="339"/>
      <c r="OE11" s="339"/>
      <c r="OF11" s="339"/>
      <c r="OG11" s="339"/>
      <c r="OH11" s="340" t="s">
        <v>1987</v>
      </c>
      <c r="OI11" s="340"/>
      <c r="OJ11" s="340"/>
      <c r="OK11" s="340"/>
      <c r="OL11" s="340"/>
      <c r="OM11" s="331" t="s">
        <v>1981</v>
      </c>
      <c r="ON11" s="331"/>
      <c r="OO11" s="331"/>
      <c r="OP11" s="341" t="s">
        <v>1988</v>
      </c>
      <c r="OQ11" s="341"/>
      <c r="OR11" s="341"/>
      <c r="OS11" s="341"/>
      <c r="OT11" s="341"/>
      <c r="OU11" s="337"/>
      <c r="OW11" s="338" t="s">
        <v>1982</v>
      </c>
      <c r="OX11" s="338">
        <v>1</v>
      </c>
      <c r="PE11" s="335"/>
      <c r="PF11" s="335"/>
      <c r="PG11" s="335"/>
      <c r="PH11" s="335"/>
      <c r="PI11" s="335"/>
      <c r="PJ11" s="335"/>
      <c r="PK11" s="335"/>
      <c r="PL11" s="336">
        <f>MAL!PQ2</f>
        <v>0</v>
      </c>
      <c r="PM11" s="336"/>
      <c r="PN11" s="336"/>
      <c r="PO11" s="336"/>
      <c r="PP11" s="336"/>
      <c r="PQ11" s="326" t="s">
        <v>1981</v>
      </c>
      <c r="PR11" s="326"/>
      <c r="PS11" s="326"/>
      <c r="PT11" s="341" t="e">
        <f>#VALUE!</f>
        <v>#VALUE!</v>
      </c>
      <c r="PU11" s="341"/>
      <c r="PV11" s="341"/>
      <c r="PW11" s="341"/>
      <c r="PX11" s="341"/>
      <c r="PY11" s="337"/>
      <c r="QA11" s="338" t="s">
        <v>1982</v>
      </c>
      <c r="QB11" s="338">
        <v>1</v>
      </c>
      <c r="QI11" s="339"/>
      <c r="QJ11" s="339"/>
      <c r="QK11" s="339"/>
      <c r="QL11" s="339"/>
      <c r="QM11" s="339"/>
      <c r="QN11" s="339"/>
      <c r="QO11" s="339"/>
      <c r="QP11" s="340" t="e">
        <f>#VALUE!</f>
        <v>#VALUE!</v>
      </c>
      <c r="QQ11" s="340"/>
      <c r="QR11" s="340"/>
      <c r="QS11" s="340"/>
      <c r="QT11" s="340"/>
      <c r="QU11" s="331" t="s">
        <v>1981</v>
      </c>
      <c r="QV11" s="331"/>
      <c r="QW11" s="331"/>
      <c r="QX11" s="341" t="e">
        <f>#VALUE!</f>
        <v>#VALUE!</v>
      </c>
      <c r="QY11" s="341"/>
      <c r="QZ11" s="341"/>
      <c r="RA11" s="341"/>
      <c r="RB11" s="341"/>
      <c r="RC11" s="337"/>
      <c r="RE11" s="338" t="s">
        <v>1982</v>
      </c>
      <c r="RF11" s="338">
        <v>1</v>
      </c>
      <c r="RM11" s="339"/>
      <c r="RN11" s="339"/>
      <c r="RO11" s="339"/>
      <c r="RP11" s="339"/>
      <c r="RQ11" s="339"/>
      <c r="RR11" s="339"/>
      <c r="RS11" s="339"/>
      <c r="RT11" s="340">
        <f>MAL!PQ2</f>
        <v>0</v>
      </c>
      <c r="RU11" s="340"/>
      <c r="RV11" s="340"/>
      <c r="RW11" s="340"/>
      <c r="RX11" s="340"/>
      <c r="RY11" s="331" t="s">
        <v>1981</v>
      </c>
      <c r="RZ11" s="331"/>
      <c r="SA11" s="331"/>
      <c r="SB11" s="341">
        <f>MAL!PR2</f>
        <v>0</v>
      </c>
      <c r="SC11" s="341"/>
      <c r="SD11" s="341"/>
      <c r="SE11" s="341"/>
      <c r="SF11" s="341"/>
      <c r="SG11" s="337"/>
      <c r="SI11" s="338" t="s">
        <v>1982</v>
      </c>
      <c r="SJ11" s="338">
        <v>1</v>
      </c>
      <c r="SQ11" s="339"/>
      <c r="SR11" s="339"/>
      <c r="SS11" s="339"/>
      <c r="ST11" s="339"/>
      <c r="SU11" s="339"/>
      <c r="SV11" s="339"/>
      <c r="SW11" s="339"/>
      <c r="SX11" s="340">
        <f>MAL!PQ3</f>
        <v>0</v>
      </c>
      <c r="SY11" s="340"/>
      <c r="SZ11" s="340"/>
      <c r="TA11" s="340"/>
      <c r="TB11" s="340"/>
      <c r="TC11" s="331" t="s">
        <v>1981</v>
      </c>
      <c r="TD11" s="331"/>
      <c r="TE11" s="331"/>
      <c r="TF11" s="341">
        <f>MAL!PR3</f>
        <v>0</v>
      </c>
      <c r="TG11" s="341"/>
      <c r="TH11" s="341"/>
      <c r="TI11" s="341"/>
      <c r="TJ11" s="341"/>
      <c r="TK11" s="337"/>
      <c r="TM11" s="338" t="s">
        <v>1982</v>
      </c>
      <c r="TN11" s="338">
        <v>1</v>
      </c>
      <c r="TU11" s="339"/>
      <c r="TV11" s="339"/>
      <c r="TW11" s="339"/>
      <c r="TX11" s="339"/>
      <c r="TY11" s="339"/>
      <c r="TZ11" s="339"/>
      <c r="UA11" s="339"/>
      <c r="UB11" s="340" t="e">
        <f>#VALUE!</f>
        <v>#VALUE!</v>
      </c>
      <c r="UC11" s="340"/>
      <c r="UD11" s="340"/>
      <c r="UE11" s="340"/>
      <c r="UF11" s="340"/>
      <c r="UG11" s="331" t="s">
        <v>1981</v>
      </c>
      <c r="UH11" s="331"/>
      <c r="UI11" s="331"/>
      <c r="UJ11" s="341" t="e">
        <f>#VALUE!</f>
        <v>#VALUE!</v>
      </c>
      <c r="UK11" s="341"/>
      <c r="UL11" s="341"/>
      <c r="UM11" s="341"/>
      <c r="UN11" s="341"/>
      <c r="UO11" s="337"/>
      <c r="UQ11" s="338" t="s">
        <v>1982</v>
      </c>
      <c r="UR11" s="338">
        <v>1</v>
      </c>
      <c r="UY11" s="339"/>
      <c r="UZ11" s="339"/>
      <c r="VA11" s="339"/>
      <c r="VB11" s="339"/>
      <c r="VC11" s="339"/>
      <c r="VD11" s="339"/>
      <c r="VE11" s="339"/>
      <c r="VF11" s="340" t="s">
        <v>1987</v>
      </c>
      <c r="VG11" s="340"/>
      <c r="VH11" s="340"/>
      <c r="VI11" s="340"/>
      <c r="VJ11" s="340"/>
      <c r="VK11" s="331" t="s">
        <v>1981</v>
      </c>
      <c r="VL11" s="331"/>
      <c r="VM11" s="331"/>
      <c r="VN11" s="341" t="s">
        <v>1988</v>
      </c>
      <c r="VO11" s="341"/>
      <c r="VP11" s="341"/>
      <c r="VQ11" s="341"/>
      <c r="VR11" s="341"/>
      <c r="VS11" s="337"/>
      <c r="VU11" s="338" t="s">
        <v>1982</v>
      </c>
      <c r="VV11" s="338">
        <v>1</v>
      </c>
      <c r="WC11" s="339"/>
      <c r="WD11" s="339"/>
      <c r="WE11" s="339"/>
      <c r="WF11" s="339"/>
      <c r="WG11" s="339"/>
      <c r="WH11" s="339"/>
      <c r="WI11" s="339"/>
      <c r="WJ11" s="340" t="s">
        <v>1987</v>
      </c>
      <c r="WK11" s="340"/>
      <c r="WL11" s="340"/>
      <c r="WM11" s="340"/>
      <c r="WN11" s="340"/>
      <c r="WO11" s="331" t="s">
        <v>1981</v>
      </c>
      <c r="WP11" s="331"/>
      <c r="WQ11" s="331"/>
      <c r="WR11" s="341" t="s">
        <v>1988</v>
      </c>
      <c r="WS11" s="341"/>
      <c r="WT11" s="341"/>
      <c r="WU11" s="341"/>
      <c r="WV11" s="341"/>
      <c r="WW11" s="337"/>
      <c r="WY11" s="338" t="s">
        <v>1982</v>
      </c>
      <c r="WZ11" s="338">
        <v>1</v>
      </c>
      <c r="XG11" s="335"/>
      <c r="XH11" s="335"/>
      <c r="XI11" s="335"/>
      <c r="XJ11" s="335"/>
      <c r="XK11" s="335"/>
      <c r="XL11" s="335"/>
      <c r="XM11" s="335"/>
      <c r="XN11" s="336">
        <f>MAL!XS2</f>
        <v>0</v>
      </c>
      <c r="XO11" s="336"/>
      <c r="XP11" s="336"/>
      <c r="XQ11" s="336"/>
      <c r="XR11" s="336"/>
      <c r="XS11" s="326" t="s">
        <v>1981</v>
      </c>
      <c r="XT11" s="326"/>
      <c r="XU11" s="326"/>
      <c r="XV11" s="341" t="e">
        <f>#VALUE!</f>
        <v>#VALUE!</v>
      </c>
      <c r="XW11" s="341"/>
      <c r="XX11" s="341"/>
      <c r="XY11" s="341"/>
      <c r="XZ11" s="341"/>
      <c r="YA11" s="337"/>
      <c r="YC11" s="338" t="s">
        <v>1982</v>
      </c>
      <c r="YD11" s="338">
        <v>1</v>
      </c>
      <c r="YK11" s="339"/>
      <c r="YL11" s="339"/>
      <c r="YM11" s="339"/>
      <c r="YN11" s="339"/>
      <c r="YO11" s="339"/>
      <c r="YP11" s="339"/>
      <c r="YQ11" s="339"/>
      <c r="YR11" s="340" t="e">
        <f>#VALUE!</f>
        <v>#VALUE!</v>
      </c>
      <c r="YS11" s="340"/>
      <c r="YT11" s="340"/>
      <c r="YU11" s="340"/>
      <c r="YV11" s="340"/>
      <c r="YW11" s="331" t="s">
        <v>1981</v>
      </c>
      <c r="YX11" s="331"/>
      <c r="YY11" s="331"/>
      <c r="YZ11" s="341" t="e">
        <f>#VALUE!</f>
        <v>#VALUE!</v>
      </c>
      <c r="ZA11" s="341"/>
      <c r="ZB11" s="341"/>
      <c r="ZC11" s="341"/>
      <c r="ZD11" s="341"/>
      <c r="ZE11" s="337"/>
      <c r="ZG11" s="338" t="s">
        <v>1982</v>
      </c>
      <c r="ZH11" s="338">
        <v>1</v>
      </c>
      <c r="ZO11" s="339"/>
      <c r="ZP11" s="339"/>
      <c r="ZQ11" s="339"/>
      <c r="ZR11" s="339"/>
      <c r="ZS11" s="339"/>
      <c r="ZT11" s="339"/>
      <c r="ZU11" s="339"/>
      <c r="ZV11" s="340">
        <f>MAL!XS2</f>
        <v>0</v>
      </c>
      <c r="ZW11" s="340"/>
      <c r="ZX11" s="340"/>
      <c r="ZY11" s="340"/>
      <c r="ZZ11" s="340"/>
      <c r="AAA11" s="331" t="s">
        <v>1981</v>
      </c>
      <c r="AAB11" s="331"/>
      <c r="AAC11" s="331"/>
      <c r="AAD11" s="341">
        <f>MAL!XT2</f>
        <v>0</v>
      </c>
      <c r="AAE11" s="341"/>
      <c r="AAF11" s="341"/>
      <c r="AAG11" s="341"/>
      <c r="AAH11" s="341"/>
      <c r="AAI11" s="337"/>
      <c r="AAK11" s="338" t="s">
        <v>1982</v>
      </c>
      <c r="AAL11" s="338">
        <v>1</v>
      </c>
      <c r="AAS11" s="339"/>
      <c r="AAT11" s="339"/>
      <c r="AAU11" s="339"/>
      <c r="AAV11" s="339"/>
      <c r="AAW11" s="339"/>
      <c r="AAX11" s="339"/>
      <c r="AAY11" s="339"/>
      <c r="AAZ11" s="340">
        <f>MAL!XS3</f>
        <v>0</v>
      </c>
      <c r="ABA11" s="340"/>
      <c r="ABB11" s="340"/>
      <c r="ABC11" s="340"/>
      <c r="ABD11" s="340"/>
      <c r="ABE11" s="331" t="s">
        <v>1981</v>
      </c>
      <c r="ABF11" s="331"/>
      <c r="ABG11" s="331"/>
      <c r="ABH11" s="341">
        <f>MAL!XT3</f>
        <v>0</v>
      </c>
      <c r="ABI11" s="341"/>
      <c r="ABJ11" s="341"/>
      <c r="ABK11" s="341"/>
      <c r="ABL11" s="341"/>
      <c r="ABM11" s="337"/>
      <c r="ABO11" s="338" t="s">
        <v>1982</v>
      </c>
      <c r="ABP11" s="338">
        <v>1</v>
      </c>
      <c r="ABW11" s="339"/>
      <c r="ABX11" s="339"/>
      <c r="ABY11" s="339"/>
      <c r="ABZ11" s="339"/>
      <c r="ACA11" s="339"/>
      <c r="ACB11" s="339"/>
      <c r="ACC11" s="339"/>
      <c r="ACD11" s="340" t="e">
        <f>#VALUE!</f>
        <v>#VALUE!</v>
      </c>
      <c r="ACE11" s="340"/>
      <c r="ACF11" s="340"/>
      <c r="ACG11" s="340"/>
      <c r="ACH11" s="340"/>
      <c r="ACI11" s="331" t="s">
        <v>1981</v>
      </c>
      <c r="ACJ11" s="331"/>
      <c r="ACK11" s="331"/>
      <c r="ACL11" s="341" t="e">
        <f>#VALUE!</f>
        <v>#VALUE!</v>
      </c>
      <c r="ACM11" s="341"/>
      <c r="ACN11" s="341"/>
      <c r="ACO11" s="341"/>
      <c r="ACP11" s="341"/>
      <c r="ACQ11" s="337"/>
      <c r="ACS11" s="338" t="s">
        <v>1982</v>
      </c>
      <c r="ACT11" s="338">
        <v>1</v>
      </c>
      <c r="ADA11" s="339"/>
      <c r="ADB11" s="339"/>
      <c r="ADC11" s="339"/>
      <c r="ADD11" s="339"/>
      <c r="ADE11" s="339"/>
      <c r="ADF11" s="339"/>
      <c r="ADG11" s="339"/>
      <c r="ADH11" s="340" t="s">
        <v>1987</v>
      </c>
      <c r="ADI11" s="340"/>
      <c r="ADJ11" s="340"/>
      <c r="ADK11" s="340"/>
      <c r="ADL11" s="340"/>
      <c r="ADM11" s="331" t="s">
        <v>1981</v>
      </c>
      <c r="ADN11" s="331"/>
      <c r="ADO11" s="331"/>
      <c r="ADP11" s="341" t="s">
        <v>1988</v>
      </c>
      <c r="ADQ11" s="341"/>
      <c r="ADR11" s="341"/>
      <c r="ADS11" s="341"/>
      <c r="ADT11" s="341"/>
      <c r="ADU11" s="337"/>
      <c r="ADW11" s="338" t="s">
        <v>1982</v>
      </c>
      <c r="ADX11" s="338">
        <v>1</v>
      </c>
      <c r="AEE11" s="339"/>
      <c r="AEF11" s="339"/>
      <c r="AEG11" s="339"/>
      <c r="AEH11" s="339"/>
      <c r="AEI11" s="339"/>
      <c r="AEJ11" s="339"/>
      <c r="AEK11" s="339"/>
      <c r="AEL11" s="340" t="s">
        <v>1987</v>
      </c>
      <c r="AEM11" s="340"/>
      <c r="AEN11" s="340"/>
      <c r="AEO11" s="340"/>
      <c r="AEP11" s="340"/>
      <c r="AEQ11" s="331" t="s">
        <v>1981</v>
      </c>
      <c r="AER11" s="331"/>
      <c r="AES11" s="331"/>
      <c r="AET11" s="341" t="s">
        <v>1988</v>
      </c>
      <c r="AEU11" s="341"/>
      <c r="AEV11" s="341"/>
      <c r="AEW11" s="341"/>
      <c r="AEX11" s="341"/>
      <c r="AEY11" s="337"/>
      <c r="AFA11" s="338" t="s">
        <v>1982</v>
      </c>
      <c r="AFB11" s="338">
        <v>1</v>
      </c>
      <c r="AFI11" s="335"/>
      <c r="AFJ11" s="335"/>
      <c r="AFK11" s="335"/>
      <c r="AFL11" s="335"/>
      <c r="AFM11" s="335"/>
      <c r="AFN11" s="335"/>
      <c r="AFO11" s="335"/>
      <c r="AFP11" s="336">
        <f>MAL!AFU2</f>
        <v>0</v>
      </c>
      <c r="AFQ11" s="336"/>
      <c r="AFR11" s="336"/>
      <c r="AFS11" s="336"/>
      <c r="AFT11" s="336"/>
      <c r="AFU11" s="326" t="s">
        <v>1981</v>
      </c>
      <c r="AFV11" s="326"/>
      <c r="AFW11" s="326"/>
      <c r="AFX11" s="341" t="e">
        <f>#VALUE!</f>
        <v>#VALUE!</v>
      </c>
      <c r="AFY11" s="341"/>
      <c r="AFZ11" s="341"/>
      <c r="AGA11" s="341"/>
      <c r="AGB11" s="341"/>
      <c r="AGC11" s="337"/>
      <c r="AGE11" s="338" t="s">
        <v>1982</v>
      </c>
      <c r="AGF11" s="338">
        <v>1</v>
      </c>
      <c r="AGM11" s="339"/>
      <c r="AGN11" s="339"/>
      <c r="AGO11" s="339"/>
      <c r="AGP11" s="339"/>
      <c r="AGQ11" s="339"/>
      <c r="AGR11" s="339"/>
      <c r="AGS11" s="339"/>
      <c r="AGT11" s="340" t="e">
        <f>#VALUE!</f>
        <v>#VALUE!</v>
      </c>
      <c r="AGU11" s="340"/>
      <c r="AGV11" s="340"/>
      <c r="AGW11" s="340"/>
      <c r="AGX11" s="340"/>
      <c r="AGY11" s="331" t="s">
        <v>1981</v>
      </c>
      <c r="AGZ11" s="331"/>
      <c r="AHA11" s="331"/>
      <c r="AHB11" s="341" t="e">
        <f>#VALUE!</f>
        <v>#VALUE!</v>
      </c>
      <c r="AHC11" s="341"/>
      <c r="AHD11" s="341"/>
      <c r="AHE11" s="341"/>
      <c r="AHF11" s="341"/>
      <c r="AHG11" s="337"/>
      <c r="AHI11" s="338" t="s">
        <v>1982</v>
      </c>
      <c r="AHJ11" s="338">
        <v>1</v>
      </c>
      <c r="AHQ11" s="339"/>
      <c r="AHR11" s="339"/>
      <c r="AHS11" s="339"/>
      <c r="AHT11" s="339"/>
      <c r="AHU11" s="339"/>
      <c r="AHV11" s="339"/>
      <c r="AHW11" s="339"/>
      <c r="AHX11" s="340">
        <f>MAL!AFU2</f>
        <v>0</v>
      </c>
      <c r="AHY11" s="340"/>
      <c r="AHZ11" s="340"/>
      <c r="AIA11" s="340"/>
      <c r="AIB11" s="340"/>
      <c r="AIC11" s="331" t="s">
        <v>1981</v>
      </c>
      <c r="AID11" s="331"/>
      <c r="AIE11" s="331"/>
      <c r="AIF11" s="341">
        <f>MAL!AFV2</f>
        <v>0</v>
      </c>
      <c r="AIG11" s="341"/>
      <c r="AIH11" s="341"/>
      <c r="AII11" s="341"/>
      <c r="AIJ11" s="341"/>
      <c r="AIK11" s="337"/>
      <c r="AIM11" s="338" t="s">
        <v>1982</v>
      </c>
      <c r="AIN11" s="338">
        <v>1</v>
      </c>
      <c r="AIU11" s="339"/>
      <c r="AIV11" s="339"/>
      <c r="AIW11" s="339"/>
      <c r="AIX11" s="339"/>
      <c r="AIY11" s="339"/>
      <c r="AIZ11" s="339"/>
      <c r="AJA11" s="339"/>
      <c r="AJB11" s="340">
        <f>MAL!AFU3</f>
        <v>0</v>
      </c>
      <c r="AJC11" s="340"/>
      <c r="AJD11" s="340"/>
      <c r="AJE11" s="340"/>
      <c r="AJF11" s="340"/>
      <c r="AJG11" s="331" t="s">
        <v>1981</v>
      </c>
      <c r="AJH11" s="331"/>
      <c r="AJI11" s="331"/>
      <c r="AJJ11" s="341">
        <f>MAL!AFV3</f>
        <v>0</v>
      </c>
      <c r="AJK11" s="341"/>
      <c r="AJL11" s="341"/>
      <c r="AJM11" s="341"/>
      <c r="AJN11" s="341"/>
      <c r="AJO11" s="337"/>
      <c r="AJQ11" s="338" t="s">
        <v>1982</v>
      </c>
      <c r="AJR11" s="338">
        <v>1</v>
      </c>
      <c r="AJY11" s="339"/>
      <c r="AJZ11" s="339"/>
      <c r="AKA11" s="339"/>
      <c r="AKB11" s="339"/>
      <c r="AKC11" s="339"/>
      <c r="AKD11" s="339"/>
      <c r="AKE11" s="339"/>
      <c r="AKF11" s="340" t="e">
        <f>#VALUE!</f>
        <v>#VALUE!</v>
      </c>
      <c r="AKG11" s="340"/>
      <c r="AKH11" s="340"/>
      <c r="AKI11" s="340"/>
      <c r="AKJ11" s="340"/>
      <c r="AKK11" s="331" t="s">
        <v>1981</v>
      </c>
      <c r="AKL11" s="331"/>
      <c r="AKM11" s="331"/>
      <c r="AKN11" s="341" t="e">
        <f>#VALUE!</f>
        <v>#VALUE!</v>
      </c>
      <c r="AKO11" s="341"/>
      <c r="AKP11" s="341"/>
      <c r="AKQ11" s="341"/>
      <c r="AKR11" s="341"/>
      <c r="AKS11" s="337"/>
      <c r="AKU11" s="338" t="s">
        <v>1982</v>
      </c>
      <c r="AKV11" s="338">
        <v>1</v>
      </c>
      <c r="ALC11" s="339"/>
      <c r="ALD11" s="339"/>
      <c r="ALE11" s="339"/>
      <c r="ALF11" s="339"/>
      <c r="ALG11" s="339"/>
      <c r="ALH11" s="339"/>
      <c r="ALI11" s="339"/>
      <c r="ALJ11" s="340" t="s">
        <v>1987</v>
      </c>
      <c r="ALK11" s="340"/>
      <c r="ALL11" s="340"/>
      <c r="ALM11" s="340"/>
      <c r="ALN11" s="340"/>
      <c r="ALO11" s="331" t="s">
        <v>1981</v>
      </c>
      <c r="ALP11" s="331"/>
      <c r="ALQ11" s="331"/>
      <c r="ALR11" s="341" t="s">
        <v>1988</v>
      </c>
      <c r="ALS11" s="341"/>
      <c r="ALT11" s="341"/>
      <c r="ALU11" s="341"/>
      <c r="ALV11" s="341"/>
      <c r="ALW11" s="337"/>
      <c r="ALY11" s="338" t="s">
        <v>1982</v>
      </c>
      <c r="ALZ11" s="338">
        <v>1</v>
      </c>
      <c r="AMG11" s="335"/>
      <c r="AMH11" s="335"/>
      <c r="AMI11" s="335"/>
      <c r="AMJ11" s="335"/>
    </row>
    <row r="12" spans="1:1024" x14ac:dyDescent="0.2">
      <c r="A12" s="335"/>
      <c r="B12" s="335"/>
      <c r="C12" s="335"/>
      <c r="D12" s="335"/>
      <c r="E12" s="335"/>
      <c r="F12" s="335"/>
      <c r="G12" s="335"/>
      <c r="H12" s="336">
        <f>MAL!W2</f>
        <v>0</v>
      </c>
      <c r="I12" s="336"/>
      <c r="J12" s="336"/>
      <c r="K12" s="336"/>
      <c r="L12" s="336"/>
      <c r="M12" s="326" t="s">
        <v>1981</v>
      </c>
      <c r="N12" s="326"/>
      <c r="O12" s="326"/>
      <c r="P12" s="333">
        <f>MAL!X2</f>
        <v>0</v>
      </c>
      <c r="Q12" s="333"/>
      <c r="R12" s="333"/>
      <c r="S12" s="333"/>
      <c r="T12" s="333"/>
      <c r="U12" s="337"/>
      <c r="W12" s="338" t="s">
        <v>1982</v>
      </c>
      <c r="X12" s="338">
        <v>0</v>
      </c>
      <c r="AE12" s="339"/>
      <c r="AF12" s="339"/>
      <c r="AG12" s="339"/>
      <c r="AH12" s="339"/>
      <c r="AI12" s="339"/>
      <c r="AJ12" s="339"/>
      <c r="AK12" s="339"/>
      <c r="AL12" s="340">
        <f>MAL!W3</f>
        <v>0</v>
      </c>
      <c r="AM12" s="340"/>
      <c r="AN12" s="340"/>
      <c r="AO12" s="340"/>
      <c r="AP12" s="340"/>
      <c r="AQ12" s="331" t="s">
        <v>1981</v>
      </c>
      <c r="AR12" s="331"/>
      <c r="AS12" s="331"/>
      <c r="AT12" s="333">
        <f>MAL!X3</f>
        <v>0</v>
      </c>
      <c r="AU12" s="333"/>
      <c r="AV12" s="333"/>
      <c r="AW12" s="333"/>
      <c r="AX12" s="333"/>
      <c r="AY12" s="337"/>
      <c r="BA12" s="338" t="s">
        <v>1982</v>
      </c>
      <c r="BB12" s="338">
        <v>0</v>
      </c>
      <c r="BI12" s="339"/>
      <c r="BJ12" s="339"/>
      <c r="BK12" s="339"/>
      <c r="BL12" s="339"/>
      <c r="BM12" s="339"/>
      <c r="BN12" s="339"/>
      <c r="BO12" s="339"/>
      <c r="BP12" s="340">
        <f>MAL!W2</f>
        <v>0</v>
      </c>
      <c r="BQ12" s="340"/>
      <c r="BR12" s="340"/>
      <c r="BS12" s="340"/>
      <c r="BT12" s="340"/>
      <c r="BU12" s="331" t="s">
        <v>1981</v>
      </c>
      <c r="BV12" s="331"/>
      <c r="BW12" s="331"/>
      <c r="BX12" s="333">
        <f>MAL!X2</f>
        <v>0</v>
      </c>
      <c r="BY12" s="333"/>
      <c r="BZ12" s="333"/>
      <c r="CA12" s="333"/>
      <c r="CB12" s="333"/>
      <c r="CC12" s="337"/>
      <c r="CE12" s="338" t="s">
        <v>1982</v>
      </c>
      <c r="CF12" s="338">
        <v>0</v>
      </c>
      <c r="CM12" s="339"/>
      <c r="CN12" s="339"/>
      <c r="CO12" s="339"/>
      <c r="CP12" s="339"/>
      <c r="CQ12" s="339"/>
      <c r="CR12" s="339"/>
      <c r="CS12" s="339"/>
      <c r="CT12" s="340">
        <f>MAL!W3</f>
        <v>0</v>
      </c>
      <c r="CU12" s="340"/>
      <c r="CV12" s="340"/>
      <c r="CW12" s="340"/>
      <c r="CX12" s="340"/>
      <c r="CY12" s="331" t="s">
        <v>1981</v>
      </c>
      <c r="CZ12" s="331"/>
      <c r="DA12" s="331"/>
      <c r="DB12" s="333">
        <f>MAL!X3</f>
        <v>0</v>
      </c>
      <c r="DC12" s="333"/>
      <c r="DD12" s="333"/>
      <c r="DE12" s="333"/>
      <c r="DF12" s="333"/>
      <c r="DG12" s="337"/>
      <c r="DI12" s="338" t="s">
        <v>1982</v>
      </c>
      <c r="DJ12" s="338">
        <v>0</v>
      </c>
      <c r="DQ12" s="339"/>
      <c r="DR12" s="339"/>
      <c r="DS12" s="339"/>
      <c r="DT12" s="339"/>
      <c r="DU12" s="339"/>
      <c r="DV12" s="339"/>
      <c r="DW12" s="339"/>
      <c r="DX12" s="340" t="e">
        <f>#VALUE!</f>
        <v>#VALUE!</v>
      </c>
      <c r="DY12" s="340"/>
      <c r="DZ12" s="340"/>
      <c r="EA12" s="340"/>
      <c r="EB12" s="340"/>
      <c r="EC12" s="331" t="s">
        <v>1981</v>
      </c>
      <c r="ED12" s="331"/>
      <c r="EE12" s="331"/>
      <c r="EF12" s="333" t="e">
        <f>#VALUE!</f>
        <v>#VALUE!</v>
      </c>
      <c r="EG12" s="333"/>
      <c r="EH12" s="333"/>
      <c r="EI12" s="333"/>
      <c r="EJ12" s="333"/>
      <c r="EK12" s="337"/>
      <c r="EM12" s="338" t="s">
        <v>1982</v>
      </c>
      <c r="EN12" s="338">
        <v>0</v>
      </c>
      <c r="EU12" s="339"/>
      <c r="EV12" s="339"/>
      <c r="EW12" s="339"/>
      <c r="EX12" s="339"/>
      <c r="EY12" s="339"/>
      <c r="EZ12" s="339"/>
      <c r="FA12" s="339"/>
      <c r="FB12" s="340" t="s">
        <v>1989</v>
      </c>
      <c r="FC12" s="340"/>
      <c r="FD12" s="340"/>
      <c r="FE12" s="340"/>
      <c r="FF12" s="340"/>
      <c r="FG12" s="331" t="s">
        <v>1981</v>
      </c>
      <c r="FH12" s="331"/>
      <c r="FI12" s="331"/>
      <c r="FJ12" s="333" t="s">
        <v>1990</v>
      </c>
      <c r="FK12" s="333"/>
      <c r="FL12" s="333"/>
      <c r="FM12" s="333"/>
      <c r="FN12" s="333"/>
      <c r="FO12" s="337"/>
      <c r="FQ12" s="338" t="s">
        <v>1982</v>
      </c>
      <c r="FR12" s="338">
        <v>0</v>
      </c>
      <c r="FY12" s="339"/>
      <c r="FZ12" s="339"/>
      <c r="GA12" s="339"/>
      <c r="GB12" s="339"/>
      <c r="GC12" s="339"/>
      <c r="GD12" s="339"/>
      <c r="GE12" s="339"/>
      <c r="GF12" s="340" t="s">
        <v>1989</v>
      </c>
      <c r="GG12" s="340"/>
      <c r="GH12" s="340"/>
      <c r="GI12" s="340"/>
      <c r="GJ12" s="340"/>
      <c r="GK12" s="331" t="s">
        <v>1981</v>
      </c>
      <c r="GL12" s="331"/>
      <c r="GM12" s="331"/>
      <c r="GN12" s="333" t="s">
        <v>1990</v>
      </c>
      <c r="GO12" s="333"/>
      <c r="GP12" s="333"/>
      <c r="GQ12" s="333"/>
      <c r="GR12" s="333"/>
      <c r="GS12" s="337"/>
      <c r="GU12" s="338" t="s">
        <v>1982</v>
      </c>
      <c r="GV12" s="338">
        <v>0</v>
      </c>
      <c r="HC12" s="335"/>
      <c r="HD12" s="335"/>
      <c r="HE12" s="335"/>
      <c r="HF12" s="335"/>
      <c r="HG12" s="335"/>
      <c r="HH12" s="335"/>
      <c r="HI12" s="335"/>
      <c r="HJ12" s="336">
        <f>MAL!HQ2</f>
        <v>0</v>
      </c>
      <c r="HK12" s="336"/>
      <c r="HL12" s="336"/>
      <c r="HM12" s="336"/>
      <c r="HN12" s="336"/>
      <c r="HO12" s="326" t="s">
        <v>1981</v>
      </c>
      <c r="HP12" s="326"/>
      <c r="HQ12" s="326"/>
      <c r="HR12" s="333">
        <f>MAL!HR2</f>
        <v>0</v>
      </c>
      <c r="HS12" s="333"/>
      <c r="HT12" s="333"/>
      <c r="HU12" s="333"/>
      <c r="HV12" s="333"/>
      <c r="HW12" s="337"/>
      <c r="HY12" s="338" t="s">
        <v>1982</v>
      </c>
      <c r="HZ12" s="338">
        <v>0</v>
      </c>
      <c r="IG12" s="339"/>
      <c r="IH12" s="339"/>
      <c r="II12" s="339"/>
      <c r="IJ12" s="339"/>
      <c r="IK12" s="339"/>
      <c r="IL12" s="339"/>
      <c r="IM12" s="339"/>
      <c r="IN12" s="340" t="e">
        <f>#VALUE!</f>
        <v>#VALUE!</v>
      </c>
      <c r="IO12" s="340"/>
      <c r="IP12" s="340"/>
      <c r="IQ12" s="340"/>
      <c r="IR12" s="340"/>
      <c r="IS12" s="331" t="s">
        <v>1981</v>
      </c>
      <c r="IT12" s="331"/>
      <c r="IU12" s="331"/>
      <c r="IV12" s="333" t="e">
        <f>#VALUE!</f>
        <v>#VALUE!</v>
      </c>
      <c r="IW12" s="333"/>
      <c r="IX12" s="333"/>
      <c r="IY12" s="333"/>
      <c r="IZ12" s="333"/>
      <c r="JA12" s="337"/>
      <c r="JC12" s="338" t="s">
        <v>1982</v>
      </c>
      <c r="JD12" s="338">
        <v>0</v>
      </c>
      <c r="JK12" s="339"/>
      <c r="JL12" s="339"/>
      <c r="JM12" s="339"/>
      <c r="JN12" s="339"/>
      <c r="JO12" s="339"/>
      <c r="JP12" s="339"/>
      <c r="JQ12" s="339"/>
      <c r="JR12" s="340">
        <f>MAL!HQ2</f>
        <v>0</v>
      </c>
      <c r="JS12" s="340"/>
      <c r="JT12" s="340"/>
      <c r="JU12" s="340"/>
      <c r="JV12" s="340"/>
      <c r="JW12" s="331" t="s">
        <v>1981</v>
      </c>
      <c r="JX12" s="331"/>
      <c r="JY12" s="331"/>
      <c r="JZ12" s="333">
        <f>MAL!HR2</f>
        <v>0</v>
      </c>
      <c r="KA12" s="333"/>
      <c r="KB12" s="333"/>
      <c r="KC12" s="333"/>
      <c r="KD12" s="333"/>
      <c r="KE12" s="337"/>
      <c r="KG12" s="338" t="s">
        <v>1982</v>
      </c>
      <c r="KH12" s="338">
        <v>0</v>
      </c>
      <c r="KO12" s="339"/>
      <c r="KP12" s="339"/>
      <c r="KQ12" s="339"/>
      <c r="KR12" s="339"/>
      <c r="KS12" s="339"/>
      <c r="KT12" s="339"/>
      <c r="KU12" s="339"/>
      <c r="KV12" s="340">
        <f>MAL!HQ3</f>
        <v>0</v>
      </c>
      <c r="KW12" s="340"/>
      <c r="KX12" s="340"/>
      <c r="KY12" s="340"/>
      <c r="KZ12" s="340"/>
      <c r="LA12" s="331" t="s">
        <v>1981</v>
      </c>
      <c r="LB12" s="331"/>
      <c r="LC12" s="331"/>
      <c r="LD12" s="333">
        <f>MAL!HR3</f>
        <v>0</v>
      </c>
      <c r="LE12" s="333"/>
      <c r="LF12" s="333"/>
      <c r="LG12" s="333"/>
      <c r="LH12" s="333"/>
      <c r="LI12" s="337"/>
      <c r="LK12" s="338" t="s">
        <v>1982</v>
      </c>
      <c r="LL12" s="338">
        <v>0</v>
      </c>
      <c r="LS12" s="339"/>
      <c r="LT12" s="339"/>
      <c r="LU12" s="339"/>
      <c r="LV12" s="339"/>
      <c r="LW12" s="339"/>
      <c r="LX12" s="339"/>
      <c r="LY12" s="339"/>
      <c r="LZ12" s="340" t="e">
        <f>#VALUE!</f>
        <v>#VALUE!</v>
      </c>
      <c r="MA12" s="340"/>
      <c r="MB12" s="340"/>
      <c r="MC12" s="340"/>
      <c r="MD12" s="340"/>
      <c r="ME12" s="331" t="s">
        <v>1981</v>
      </c>
      <c r="MF12" s="331"/>
      <c r="MG12" s="331"/>
      <c r="MH12" s="333" t="e">
        <f>#VALUE!</f>
        <v>#VALUE!</v>
      </c>
      <c r="MI12" s="333"/>
      <c r="MJ12" s="333"/>
      <c r="MK12" s="333"/>
      <c r="ML12" s="333"/>
      <c r="MM12" s="337"/>
      <c r="MO12" s="338" t="s">
        <v>1982</v>
      </c>
      <c r="MP12" s="338">
        <v>0</v>
      </c>
      <c r="MW12" s="339"/>
      <c r="MX12" s="339"/>
      <c r="MY12" s="339"/>
      <c r="MZ12" s="339"/>
      <c r="NA12" s="339"/>
      <c r="NB12" s="339"/>
      <c r="NC12" s="339"/>
      <c r="ND12" s="340" t="s">
        <v>1989</v>
      </c>
      <c r="NE12" s="340"/>
      <c r="NF12" s="340"/>
      <c r="NG12" s="340"/>
      <c r="NH12" s="340"/>
      <c r="NI12" s="331" t="s">
        <v>1981</v>
      </c>
      <c r="NJ12" s="331"/>
      <c r="NK12" s="331"/>
      <c r="NL12" s="333" t="s">
        <v>1990</v>
      </c>
      <c r="NM12" s="333"/>
      <c r="NN12" s="333"/>
      <c r="NO12" s="333"/>
      <c r="NP12" s="333"/>
      <c r="NQ12" s="337"/>
      <c r="NS12" s="338" t="s">
        <v>1982</v>
      </c>
      <c r="NT12" s="338">
        <v>0</v>
      </c>
      <c r="OA12" s="339"/>
      <c r="OB12" s="339"/>
      <c r="OC12" s="339"/>
      <c r="OD12" s="339"/>
      <c r="OE12" s="339"/>
      <c r="OF12" s="339"/>
      <c r="OG12" s="339"/>
      <c r="OH12" s="340" t="s">
        <v>1989</v>
      </c>
      <c r="OI12" s="340"/>
      <c r="OJ12" s="340"/>
      <c r="OK12" s="340"/>
      <c r="OL12" s="340"/>
      <c r="OM12" s="331" t="s">
        <v>1981</v>
      </c>
      <c r="ON12" s="331"/>
      <c r="OO12" s="331"/>
      <c r="OP12" s="333" t="s">
        <v>1990</v>
      </c>
      <c r="OQ12" s="333"/>
      <c r="OR12" s="333"/>
      <c r="OS12" s="333"/>
      <c r="OT12" s="333"/>
      <c r="OU12" s="337"/>
      <c r="OW12" s="338" t="s">
        <v>1982</v>
      </c>
      <c r="OX12" s="338">
        <v>0</v>
      </c>
      <c r="PE12" s="335"/>
      <c r="PF12" s="335"/>
      <c r="PG12" s="335"/>
      <c r="PH12" s="335"/>
      <c r="PI12" s="335"/>
      <c r="PJ12" s="335"/>
      <c r="PK12" s="335"/>
      <c r="PL12" s="336">
        <f>MAL!PS2</f>
        <v>0</v>
      </c>
      <c r="PM12" s="336"/>
      <c r="PN12" s="336"/>
      <c r="PO12" s="336"/>
      <c r="PP12" s="336"/>
      <c r="PQ12" s="326" t="s">
        <v>1981</v>
      </c>
      <c r="PR12" s="326"/>
      <c r="PS12" s="326"/>
      <c r="PT12" s="333">
        <f>MAL!PT2</f>
        <v>0</v>
      </c>
      <c r="PU12" s="333"/>
      <c r="PV12" s="333"/>
      <c r="PW12" s="333"/>
      <c r="PX12" s="333"/>
      <c r="PY12" s="337"/>
      <c r="QA12" s="338" t="s">
        <v>1982</v>
      </c>
      <c r="QB12" s="338">
        <v>0</v>
      </c>
      <c r="QI12" s="339"/>
      <c r="QJ12" s="339"/>
      <c r="QK12" s="339"/>
      <c r="QL12" s="339"/>
      <c r="QM12" s="339"/>
      <c r="QN12" s="339"/>
      <c r="QO12" s="339"/>
      <c r="QP12" s="340" t="e">
        <f>#VALUE!</f>
        <v>#VALUE!</v>
      </c>
      <c r="QQ12" s="340"/>
      <c r="QR12" s="340"/>
      <c r="QS12" s="340"/>
      <c r="QT12" s="340"/>
      <c r="QU12" s="331" t="s">
        <v>1981</v>
      </c>
      <c r="QV12" s="331"/>
      <c r="QW12" s="331"/>
      <c r="QX12" s="333" t="e">
        <f>#VALUE!</f>
        <v>#VALUE!</v>
      </c>
      <c r="QY12" s="333"/>
      <c r="QZ12" s="333"/>
      <c r="RA12" s="333"/>
      <c r="RB12" s="333"/>
      <c r="RC12" s="337"/>
      <c r="RE12" s="338" t="s">
        <v>1982</v>
      </c>
      <c r="RF12" s="338">
        <v>0</v>
      </c>
      <c r="RM12" s="339"/>
      <c r="RN12" s="339"/>
      <c r="RO12" s="339"/>
      <c r="RP12" s="339"/>
      <c r="RQ12" s="339"/>
      <c r="RR12" s="339"/>
      <c r="RS12" s="339"/>
      <c r="RT12" s="340">
        <f>MAL!PS2</f>
        <v>0</v>
      </c>
      <c r="RU12" s="340"/>
      <c r="RV12" s="340"/>
      <c r="RW12" s="340"/>
      <c r="RX12" s="340"/>
      <c r="RY12" s="331" t="s">
        <v>1981</v>
      </c>
      <c r="RZ12" s="331"/>
      <c r="SA12" s="331"/>
      <c r="SB12" s="333">
        <f>MAL!PT2</f>
        <v>0</v>
      </c>
      <c r="SC12" s="333"/>
      <c r="SD12" s="333"/>
      <c r="SE12" s="333"/>
      <c r="SF12" s="333"/>
      <c r="SG12" s="337"/>
      <c r="SI12" s="338" t="s">
        <v>1982</v>
      </c>
      <c r="SJ12" s="338">
        <v>0</v>
      </c>
      <c r="SQ12" s="339"/>
      <c r="SR12" s="339"/>
      <c r="SS12" s="339"/>
      <c r="ST12" s="339"/>
      <c r="SU12" s="339"/>
      <c r="SV12" s="339"/>
      <c r="SW12" s="339"/>
      <c r="SX12" s="340">
        <f>MAL!PS3</f>
        <v>0</v>
      </c>
      <c r="SY12" s="340"/>
      <c r="SZ12" s="340"/>
      <c r="TA12" s="340"/>
      <c r="TB12" s="340"/>
      <c r="TC12" s="331" t="s">
        <v>1981</v>
      </c>
      <c r="TD12" s="331"/>
      <c r="TE12" s="331"/>
      <c r="TF12" s="333">
        <f>MAL!PT3</f>
        <v>0</v>
      </c>
      <c r="TG12" s="333"/>
      <c r="TH12" s="333"/>
      <c r="TI12" s="333"/>
      <c r="TJ12" s="333"/>
      <c r="TK12" s="337"/>
      <c r="TM12" s="338" t="s">
        <v>1982</v>
      </c>
      <c r="TN12" s="338">
        <v>0</v>
      </c>
      <c r="TU12" s="339"/>
      <c r="TV12" s="339"/>
      <c r="TW12" s="339"/>
      <c r="TX12" s="339"/>
      <c r="TY12" s="339"/>
      <c r="TZ12" s="339"/>
      <c r="UA12" s="339"/>
      <c r="UB12" s="340" t="e">
        <f>#VALUE!</f>
        <v>#VALUE!</v>
      </c>
      <c r="UC12" s="340"/>
      <c r="UD12" s="340"/>
      <c r="UE12" s="340"/>
      <c r="UF12" s="340"/>
      <c r="UG12" s="331" t="s">
        <v>1981</v>
      </c>
      <c r="UH12" s="331"/>
      <c r="UI12" s="331"/>
      <c r="UJ12" s="333" t="e">
        <f>#VALUE!</f>
        <v>#VALUE!</v>
      </c>
      <c r="UK12" s="333"/>
      <c r="UL12" s="333"/>
      <c r="UM12" s="333"/>
      <c r="UN12" s="333"/>
      <c r="UO12" s="337"/>
      <c r="UQ12" s="338" t="s">
        <v>1982</v>
      </c>
      <c r="UR12" s="338">
        <v>0</v>
      </c>
      <c r="UY12" s="339"/>
      <c r="UZ12" s="339"/>
      <c r="VA12" s="339"/>
      <c r="VB12" s="339"/>
      <c r="VC12" s="339"/>
      <c r="VD12" s="339"/>
      <c r="VE12" s="339"/>
      <c r="VF12" s="340" t="s">
        <v>1989</v>
      </c>
      <c r="VG12" s="340"/>
      <c r="VH12" s="340"/>
      <c r="VI12" s="340"/>
      <c r="VJ12" s="340"/>
      <c r="VK12" s="331" t="s">
        <v>1981</v>
      </c>
      <c r="VL12" s="331"/>
      <c r="VM12" s="331"/>
      <c r="VN12" s="333" t="s">
        <v>1990</v>
      </c>
      <c r="VO12" s="333"/>
      <c r="VP12" s="333"/>
      <c r="VQ12" s="333"/>
      <c r="VR12" s="333"/>
      <c r="VS12" s="337"/>
      <c r="VU12" s="338" t="s">
        <v>1982</v>
      </c>
      <c r="VV12" s="338">
        <v>0</v>
      </c>
      <c r="WC12" s="339"/>
      <c r="WD12" s="339"/>
      <c r="WE12" s="339"/>
      <c r="WF12" s="339"/>
      <c r="WG12" s="339"/>
      <c r="WH12" s="339"/>
      <c r="WI12" s="339"/>
      <c r="WJ12" s="340" t="s">
        <v>1989</v>
      </c>
      <c r="WK12" s="340"/>
      <c r="WL12" s="340"/>
      <c r="WM12" s="340"/>
      <c r="WN12" s="340"/>
      <c r="WO12" s="331" t="s">
        <v>1981</v>
      </c>
      <c r="WP12" s="331"/>
      <c r="WQ12" s="331"/>
      <c r="WR12" s="333" t="s">
        <v>1990</v>
      </c>
      <c r="WS12" s="333"/>
      <c r="WT12" s="333"/>
      <c r="WU12" s="333"/>
      <c r="WV12" s="333"/>
      <c r="WW12" s="337"/>
      <c r="WY12" s="338" t="s">
        <v>1982</v>
      </c>
      <c r="WZ12" s="338">
        <v>0</v>
      </c>
      <c r="XG12" s="335"/>
      <c r="XH12" s="335"/>
      <c r="XI12" s="335"/>
      <c r="XJ12" s="335"/>
      <c r="XK12" s="335"/>
      <c r="XL12" s="335"/>
      <c r="XM12" s="335"/>
      <c r="XN12" s="336">
        <f>MAL!XU2</f>
        <v>0</v>
      </c>
      <c r="XO12" s="336"/>
      <c r="XP12" s="336"/>
      <c r="XQ12" s="336"/>
      <c r="XR12" s="336"/>
      <c r="XS12" s="326" t="s">
        <v>1981</v>
      </c>
      <c r="XT12" s="326"/>
      <c r="XU12" s="326"/>
      <c r="XV12" s="333">
        <f>MAL!XV2</f>
        <v>0</v>
      </c>
      <c r="XW12" s="333"/>
      <c r="XX12" s="333"/>
      <c r="XY12" s="333"/>
      <c r="XZ12" s="333"/>
      <c r="YA12" s="337"/>
      <c r="YC12" s="338" t="s">
        <v>1982</v>
      </c>
      <c r="YD12" s="338">
        <v>0</v>
      </c>
      <c r="YK12" s="339"/>
      <c r="YL12" s="339"/>
      <c r="YM12" s="339"/>
      <c r="YN12" s="339"/>
      <c r="YO12" s="339"/>
      <c r="YP12" s="339"/>
      <c r="YQ12" s="339"/>
      <c r="YR12" s="340" t="e">
        <f>#VALUE!</f>
        <v>#VALUE!</v>
      </c>
      <c r="YS12" s="340"/>
      <c r="YT12" s="340"/>
      <c r="YU12" s="340"/>
      <c r="YV12" s="340"/>
      <c r="YW12" s="331" t="s">
        <v>1981</v>
      </c>
      <c r="YX12" s="331"/>
      <c r="YY12" s="331"/>
      <c r="YZ12" s="333" t="e">
        <f>#VALUE!</f>
        <v>#VALUE!</v>
      </c>
      <c r="ZA12" s="333"/>
      <c r="ZB12" s="333"/>
      <c r="ZC12" s="333"/>
      <c r="ZD12" s="333"/>
      <c r="ZE12" s="337"/>
      <c r="ZG12" s="338" t="s">
        <v>1982</v>
      </c>
      <c r="ZH12" s="338">
        <v>0</v>
      </c>
      <c r="ZO12" s="339"/>
      <c r="ZP12" s="339"/>
      <c r="ZQ12" s="339"/>
      <c r="ZR12" s="339"/>
      <c r="ZS12" s="339"/>
      <c r="ZT12" s="339"/>
      <c r="ZU12" s="339"/>
      <c r="ZV12" s="340">
        <f>MAL!XU2</f>
        <v>0</v>
      </c>
      <c r="ZW12" s="340"/>
      <c r="ZX12" s="340"/>
      <c r="ZY12" s="340"/>
      <c r="ZZ12" s="340"/>
      <c r="AAA12" s="331" t="s">
        <v>1981</v>
      </c>
      <c r="AAB12" s="331"/>
      <c r="AAC12" s="331"/>
      <c r="AAD12" s="333">
        <f>MAL!XV2</f>
        <v>0</v>
      </c>
      <c r="AAE12" s="333"/>
      <c r="AAF12" s="333"/>
      <c r="AAG12" s="333"/>
      <c r="AAH12" s="333"/>
      <c r="AAI12" s="337"/>
      <c r="AAK12" s="338" t="s">
        <v>1982</v>
      </c>
      <c r="AAL12" s="338">
        <v>0</v>
      </c>
      <c r="AAS12" s="339"/>
      <c r="AAT12" s="339"/>
      <c r="AAU12" s="339"/>
      <c r="AAV12" s="339"/>
      <c r="AAW12" s="339"/>
      <c r="AAX12" s="339"/>
      <c r="AAY12" s="339"/>
      <c r="AAZ12" s="340">
        <f>MAL!XU3</f>
        <v>0</v>
      </c>
      <c r="ABA12" s="340"/>
      <c r="ABB12" s="340"/>
      <c r="ABC12" s="340"/>
      <c r="ABD12" s="340"/>
      <c r="ABE12" s="331" t="s">
        <v>1981</v>
      </c>
      <c r="ABF12" s="331"/>
      <c r="ABG12" s="331"/>
      <c r="ABH12" s="333">
        <f>MAL!XV3</f>
        <v>0</v>
      </c>
      <c r="ABI12" s="333"/>
      <c r="ABJ12" s="333"/>
      <c r="ABK12" s="333"/>
      <c r="ABL12" s="333"/>
      <c r="ABM12" s="337"/>
      <c r="ABO12" s="338" t="s">
        <v>1982</v>
      </c>
      <c r="ABP12" s="338">
        <v>0</v>
      </c>
      <c r="ABW12" s="339"/>
      <c r="ABX12" s="339"/>
      <c r="ABY12" s="339"/>
      <c r="ABZ12" s="339"/>
      <c r="ACA12" s="339"/>
      <c r="ACB12" s="339"/>
      <c r="ACC12" s="339"/>
      <c r="ACD12" s="340" t="e">
        <f>#VALUE!</f>
        <v>#VALUE!</v>
      </c>
      <c r="ACE12" s="340"/>
      <c r="ACF12" s="340"/>
      <c r="ACG12" s="340"/>
      <c r="ACH12" s="340"/>
      <c r="ACI12" s="331" t="s">
        <v>1981</v>
      </c>
      <c r="ACJ12" s="331"/>
      <c r="ACK12" s="331"/>
      <c r="ACL12" s="333" t="e">
        <f>#VALUE!</f>
        <v>#VALUE!</v>
      </c>
      <c r="ACM12" s="333"/>
      <c r="ACN12" s="333"/>
      <c r="ACO12" s="333"/>
      <c r="ACP12" s="333"/>
      <c r="ACQ12" s="337"/>
      <c r="ACS12" s="338" t="s">
        <v>1982</v>
      </c>
      <c r="ACT12" s="338">
        <v>0</v>
      </c>
      <c r="ADA12" s="339"/>
      <c r="ADB12" s="339"/>
      <c r="ADC12" s="339"/>
      <c r="ADD12" s="339"/>
      <c r="ADE12" s="339"/>
      <c r="ADF12" s="339"/>
      <c r="ADG12" s="339"/>
      <c r="ADH12" s="340" t="s">
        <v>1989</v>
      </c>
      <c r="ADI12" s="340"/>
      <c r="ADJ12" s="340"/>
      <c r="ADK12" s="340"/>
      <c r="ADL12" s="340"/>
      <c r="ADM12" s="331" t="s">
        <v>1981</v>
      </c>
      <c r="ADN12" s="331"/>
      <c r="ADO12" s="331"/>
      <c r="ADP12" s="333" t="s">
        <v>1990</v>
      </c>
      <c r="ADQ12" s="333"/>
      <c r="ADR12" s="333"/>
      <c r="ADS12" s="333"/>
      <c r="ADT12" s="333"/>
      <c r="ADU12" s="337"/>
      <c r="ADW12" s="338" t="s">
        <v>1982</v>
      </c>
      <c r="ADX12" s="338">
        <v>0</v>
      </c>
      <c r="AEE12" s="339"/>
      <c r="AEF12" s="339"/>
      <c r="AEG12" s="339"/>
      <c r="AEH12" s="339"/>
      <c r="AEI12" s="339"/>
      <c r="AEJ12" s="339"/>
      <c r="AEK12" s="339"/>
      <c r="AEL12" s="340" t="s">
        <v>1989</v>
      </c>
      <c r="AEM12" s="340"/>
      <c r="AEN12" s="340"/>
      <c r="AEO12" s="340"/>
      <c r="AEP12" s="340"/>
      <c r="AEQ12" s="331" t="s">
        <v>1981</v>
      </c>
      <c r="AER12" s="331"/>
      <c r="AES12" s="331"/>
      <c r="AET12" s="333" t="s">
        <v>1990</v>
      </c>
      <c r="AEU12" s="333"/>
      <c r="AEV12" s="333"/>
      <c r="AEW12" s="333"/>
      <c r="AEX12" s="333"/>
      <c r="AEY12" s="337"/>
      <c r="AFA12" s="338" t="s">
        <v>1982</v>
      </c>
      <c r="AFB12" s="338">
        <v>0</v>
      </c>
      <c r="AFI12" s="335"/>
      <c r="AFJ12" s="335"/>
      <c r="AFK12" s="335"/>
      <c r="AFL12" s="335"/>
      <c r="AFM12" s="335"/>
      <c r="AFN12" s="335"/>
      <c r="AFO12" s="335"/>
      <c r="AFP12" s="336">
        <f>MAL!AFW2</f>
        <v>0</v>
      </c>
      <c r="AFQ12" s="336"/>
      <c r="AFR12" s="336"/>
      <c r="AFS12" s="336"/>
      <c r="AFT12" s="336"/>
      <c r="AFU12" s="326" t="s">
        <v>1981</v>
      </c>
      <c r="AFV12" s="326"/>
      <c r="AFW12" s="326"/>
      <c r="AFX12" s="333">
        <f>MAL!AFX2</f>
        <v>0</v>
      </c>
      <c r="AFY12" s="333"/>
      <c r="AFZ12" s="333"/>
      <c r="AGA12" s="333"/>
      <c r="AGB12" s="333"/>
      <c r="AGC12" s="337"/>
      <c r="AGE12" s="338" t="s">
        <v>1982</v>
      </c>
      <c r="AGF12" s="338">
        <v>0</v>
      </c>
      <c r="AGM12" s="339"/>
      <c r="AGN12" s="339"/>
      <c r="AGO12" s="339"/>
      <c r="AGP12" s="339"/>
      <c r="AGQ12" s="339"/>
      <c r="AGR12" s="339"/>
      <c r="AGS12" s="339"/>
      <c r="AGT12" s="340" t="e">
        <f>#VALUE!</f>
        <v>#VALUE!</v>
      </c>
      <c r="AGU12" s="340"/>
      <c r="AGV12" s="340"/>
      <c r="AGW12" s="340"/>
      <c r="AGX12" s="340"/>
      <c r="AGY12" s="331" t="s">
        <v>1981</v>
      </c>
      <c r="AGZ12" s="331"/>
      <c r="AHA12" s="331"/>
      <c r="AHB12" s="333" t="e">
        <f>#VALUE!</f>
        <v>#VALUE!</v>
      </c>
      <c r="AHC12" s="333"/>
      <c r="AHD12" s="333"/>
      <c r="AHE12" s="333"/>
      <c r="AHF12" s="333"/>
      <c r="AHG12" s="337"/>
      <c r="AHI12" s="338" t="s">
        <v>1982</v>
      </c>
      <c r="AHJ12" s="338">
        <v>0</v>
      </c>
      <c r="AHQ12" s="339"/>
      <c r="AHR12" s="339"/>
      <c r="AHS12" s="339"/>
      <c r="AHT12" s="339"/>
      <c r="AHU12" s="339"/>
      <c r="AHV12" s="339"/>
      <c r="AHW12" s="339"/>
      <c r="AHX12" s="340">
        <f>MAL!AFW2</f>
        <v>0</v>
      </c>
      <c r="AHY12" s="340"/>
      <c r="AHZ12" s="340"/>
      <c r="AIA12" s="340"/>
      <c r="AIB12" s="340"/>
      <c r="AIC12" s="331" t="s">
        <v>1981</v>
      </c>
      <c r="AID12" s="331"/>
      <c r="AIE12" s="331"/>
      <c r="AIF12" s="333">
        <f>MAL!AFX2</f>
        <v>0</v>
      </c>
      <c r="AIG12" s="333"/>
      <c r="AIH12" s="333"/>
      <c r="AII12" s="333"/>
      <c r="AIJ12" s="333"/>
      <c r="AIK12" s="337"/>
      <c r="AIM12" s="338" t="s">
        <v>1982</v>
      </c>
      <c r="AIN12" s="338">
        <v>0</v>
      </c>
      <c r="AIU12" s="339"/>
      <c r="AIV12" s="339"/>
      <c r="AIW12" s="339"/>
      <c r="AIX12" s="339"/>
      <c r="AIY12" s="339"/>
      <c r="AIZ12" s="339"/>
      <c r="AJA12" s="339"/>
      <c r="AJB12" s="340">
        <f>MAL!AFW3</f>
        <v>0</v>
      </c>
      <c r="AJC12" s="340"/>
      <c r="AJD12" s="340"/>
      <c r="AJE12" s="340"/>
      <c r="AJF12" s="340"/>
      <c r="AJG12" s="331" t="s">
        <v>1981</v>
      </c>
      <c r="AJH12" s="331"/>
      <c r="AJI12" s="331"/>
      <c r="AJJ12" s="333">
        <f>MAL!AFX3</f>
        <v>0</v>
      </c>
      <c r="AJK12" s="333"/>
      <c r="AJL12" s="333"/>
      <c r="AJM12" s="333"/>
      <c r="AJN12" s="333"/>
      <c r="AJO12" s="337"/>
      <c r="AJQ12" s="338" t="s">
        <v>1982</v>
      </c>
      <c r="AJR12" s="338">
        <v>0</v>
      </c>
      <c r="AJY12" s="339"/>
      <c r="AJZ12" s="339"/>
      <c r="AKA12" s="339"/>
      <c r="AKB12" s="339"/>
      <c r="AKC12" s="339"/>
      <c r="AKD12" s="339"/>
      <c r="AKE12" s="339"/>
      <c r="AKF12" s="340" t="e">
        <f>#VALUE!</f>
        <v>#VALUE!</v>
      </c>
      <c r="AKG12" s="340"/>
      <c r="AKH12" s="340"/>
      <c r="AKI12" s="340"/>
      <c r="AKJ12" s="340"/>
      <c r="AKK12" s="331" t="s">
        <v>1981</v>
      </c>
      <c r="AKL12" s="331"/>
      <c r="AKM12" s="331"/>
      <c r="AKN12" s="333" t="e">
        <f>#VALUE!</f>
        <v>#VALUE!</v>
      </c>
      <c r="AKO12" s="333"/>
      <c r="AKP12" s="333"/>
      <c r="AKQ12" s="333"/>
      <c r="AKR12" s="333"/>
      <c r="AKS12" s="337"/>
      <c r="AKU12" s="338" t="s">
        <v>1982</v>
      </c>
      <c r="AKV12" s="338">
        <v>0</v>
      </c>
      <c r="ALC12" s="339"/>
      <c r="ALD12" s="339"/>
      <c r="ALE12" s="339"/>
      <c r="ALF12" s="339"/>
      <c r="ALG12" s="339"/>
      <c r="ALH12" s="339"/>
      <c r="ALI12" s="339"/>
      <c r="ALJ12" s="340" t="s">
        <v>1989</v>
      </c>
      <c r="ALK12" s="340"/>
      <c r="ALL12" s="340"/>
      <c r="ALM12" s="340"/>
      <c r="ALN12" s="340"/>
      <c r="ALO12" s="331" t="s">
        <v>1981</v>
      </c>
      <c r="ALP12" s="331"/>
      <c r="ALQ12" s="331"/>
      <c r="ALR12" s="333" t="s">
        <v>1990</v>
      </c>
      <c r="ALS12" s="333"/>
      <c r="ALT12" s="333"/>
      <c r="ALU12" s="333"/>
      <c r="ALV12" s="333"/>
      <c r="ALW12" s="337"/>
      <c r="ALY12" s="338" t="s">
        <v>1982</v>
      </c>
      <c r="ALZ12" s="338">
        <v>0</v>
      </c>
      <c r="AMG12" s="335"/>
      <c r="AMH12" s="335"/>
      <c r="AMI12" s="335"/>
      <c r="AMJ12" s="335"/>
    </row>
    <row r="13" spans="1:1024" x14ac:dyDescent="0.2">
      <c r="A13" s="342">
        <f>MAL!Z2</f>
        <v>0</v>
      </c>
      <c r="B13" s="342"/>
      <c r="C13" s="342"/>
      <c r="D13" s="342"/>
      <c r="E13" s="342"/>
      <c r="F13" s="342"/>
      <c r="G13" s="342"/>
      <c r="H13" s="343">
        <f>MAL!Y2</f>
        <v>0</v>
      </c>
      <c r="I13" s="343"/>
      <c r="J13" s="343"/>
      <c r="K13" s="343"/>
      <c r="L13" s="343"/>
      <c r="M13" s="326" t="s">
        <v>1981</v>
      </c>
      <c r="N13" s="326"/>
      <c r="O13" s="326"/>
      <c r="P13" s="327">
        <f>MAL!AA2</f>
        <v>0</v>
      </c>
      <c r="Q13" s="327"/>
      <c r="R13" s="327"/>
      <c r="S13" s="327"/>
      <c r="T13" s="327"/>
      <c r="U13" s="337"/>
      <c r="W13" s="338" t="s">
        <v>1982</v>
      </c>
      <c r="X13" s="338">
        <v>1</v>
      </c>
      <c r="AE13" s="344">
        <f>MAL!Z3</f>
        <v>0</v>
      </c>
      <c r="AF13" s="344"/>
      <c r="AG13" s="344"/>
      <c r="AH13" s="344"/>
      <c r="AI13" s="344"/>
      <c r="AJ13" s="344"/>
      <c r="AK13" s="344"/>
      <c r="AL13" s="340">
        <f>MAL!Y3</f>
        <v>0</v>
      </c>
      <c r="AM13" s="340"/>
      <c r="AN13" s="340"/>
      <c r="AO13" s="340"/>
      <c r="AP13" s="340"/>
      <c r="AQ13" s="331" t="s">
        <v>1981</v>
      </c>
      <c r="AR13" s="331"/>
      <c r="AS13" s="331"/>
      <c r="AT13" s="333">
        <f>MAL!AA3</f>
        <v>0</v>
      </c>
      <c r="AU13" s="333"/>
      <c r="AV13" s="333"/>
      <c r="AW13" s="333"/>
      <c r="AX13" s="333"/>
      <c r="AY13" s="337"/>
      <c r="BA13" s="338" t="s">
        <v>1982</v>
      </c>
      <c r="BB13" s="338">
        <v>1</v>
      </c>
      <c r="BI13" s="344">
        <f>MAL!Z2</f>
        <v>0</v>
      </c>
      <c r="BJ13" s="344"/>
      <c r="BK13" s="344"/>
      <c r="BL13" s="344"/>
      <c r="BM13" s="344"/>
      <c r="BN13" s="344"/>
      <c r="BO13" s="344"/>
      <c r="BP13" s="340">
        <f>MAL!Y2</f>
        <v>0</v>
      </c>
      <c r="BQ13" s="340"/>
      <c r="BR13" s="340"/>
      <c r="BS13" s="340"/>
      <c r="BT13" s="340"/>
      <c r="BU13" s="331" t="s">
        <v>1981</v>
      </c>
      <c r="BV13" s="331"/>
      <c r="BW13" s="331"/>
      <c r="BX13" s="333">
        <f>MAL!AA2</f>
        <v>0</v>
      </c>
      <c r="BY13" s="333"/>
      <c r="BZ13" s="333"/>
      <c r="CA13" s="333"/>
      <c r="CB13" s="333"/>
      <c r="CC13" s="337"/>
      <c r="CE13" s="338" t="s">
        <v>1982</v>
      </c>
      <c r="CF13" s="338">
        <v>1</v>
      </c>
      <c r="CM13" s="344">
        <f>MAL!Z3</f>
        <v>0</v>
      </c>
      <c r="CN13" s="344"/>
      <c r="CO13" s="344"/>
      <c r="CP13" s="344"/>
      <c r="CQ13" s="344"/>
      <c r="CR13" s="344"/>
      <c r="CS13" s="344"/>
      <c r="CT13" s="330">
        <f>MAL!Y3</f>
        <v>0</v>
      </c>
      <c r="CU13" s="330"/>
      <c r="CV13" s="330"/>
      <c r="CW13" s="330"/>
      <c r="CX13" s="330"/>
      <c r="CY13" s="331" t="s">
        <v>1981</v>
      </c>
      <c r="CZ13" s="331"/>
      <c r="DA13" s="331"/>
      <c r="DB13" s="332">
        <f>MAL!AA3</f>
        <v>0</v>
      </c>
      <c r="DC13" s="332"/>
      <c r="DD13" s="332"/>
      <c r="DE13" s="332"/>
      <c r="DF13" s="332"/>
      <c r="DG13" s="337"/>
      <c r="DI13" s="338" t="s">
        <v>1982</v>
      </c>
      <c r="DJ13" s="338">
        <v>1</v>
      </c>
      <c r="DQ13" s="345" t="e">
        <f>#VALUE!</f>
        <v>#VALUE!</v>
      </c>
      <c r="DR13" s="345"/>
      <c r="DS13" s="345"/>
      <c r="DT13" s="345"/>
      <c r="DU13" s="345"/>
      <c r="DV13" s="345"/>
      <c r="DW13" s="345"/>
      <c r="DX13" s="340" t="e">
        <f>#VALUE!</f>
        <v>#VALUE!</v>
      </c>
      <c r="DY13" s="340"/>
      <c r="DZ13" s="340"/>
      <c r="EA13" s="340"/>
      <c r="EB13" s="340"/>
      <c r="EC13" s="331" t="s">
        <v>1981</v>
      </c>
      <c r="ED13" s="331"/>
      <c r="EE13" s="331"/>
      <c r="EF13" s="333" t="e">
        <f>#VALUE!</f>
        <v>#VALUE!</v>
      </c>
      <c r="EG13" s="333"/>
      <c r="EH13" s="333"/>
      <c r="EI13" s="333"/>
      <c r="EJ13" s="333"/>
      <c r="EK13" s="337"/>
      <c r="EM13" s="338" t="s">
        <v>1982</v>
      </c>
      <c r="EN13" s="338">
        <v>1</v>
      </c>
      <c r="EU13" s="344" t="s">
        <v>1991</v>
      </c>
      <c r="EV13" s="344"/>
      <c r="EW13" s="344"/>
      <c r="EX13" s="344"/>
      <c r="EY13" s="344"/>
      <c r="EZ13" s="344"/>
      <c r="FA13" s="344"/>
      <c r="FB13" s="340" t="s">
        <v>1992</v>
      </c>
      <c r="FC13" s="340"/>
      <c r="FD13" s="340"/>
      <c r="FE13" s="340"/>
      <c r="FF13" s="340"/>
      <c r="FG13" s="331" t="s">
        <v>1981</v>
      </c>
      <c r="FH13" s="331"/>
      <c r="FI13" s="331"/>
      <c r="FJ13" s="333" t="s">
        <v>1993</v>
      </c>
      <c r="FK13" s="333"/>
      <c r="FL13" s="333"/>
      <c r="FM13" s="333"/>
      <c r="FN13" s="333"/>
      <c r="FO13" s="337"/>
      <c r="FQ13" s="338" t="s">
        <v>1982</v>
      </c>
      <c r="FR13" s="338">
        <v>1</v>
      </c>
      <c r="FY13" s="344" t="s">
        <v>1991</v>
      </c>
      <c r="FZ13" s="344"/>
      <c r="GA13" s="344"/>
      <c r="GB13" s="344"/>
      <c r="GC13" s="344"/>
      <c r="GD13" s="344"/>
      <c r="GE13" s="344"/>
      <c r="GF13" s="340" t="s">
        <v>1992</v>
      </c>
      <c r="GG13" s="340"/>
      <c r="GH13" s="340"/>
      <c r="GI13" s="340"/>
      <c r="GJ13" s="340"/>
      <c r="GK13" s="331" t="s">
        <v>1981</v>
      </c>
      <c r="GL13" s="331"/>
      <c r="GM13" s="331"/>
      <c r="GN13" s="333" t="s">
        <v>1993</v>
      </c>
      <c r="GO13" s="333"/>
      <c r="GP13" s="333"/>
      <c r="GQ13" s="333"/>
      <c r="GR13" s="333"/>
      <c r="GS13" s="337"/>
      <c r="GU13" s="338" t="s">
        <v>1982</v>
      </c>
      <c r="GV13" s="338">
        <v>1</v>
      </c>
      <c r="HC13" s="342">
        <f>MAL!HT2</f>
        <v>0</v>
      </c>
      <c r="HD13" s="342"/>
      <c r="HE13" s="342"/>
      <c r="HF13" s="342"/>
      <c r="HG13" s="342"/>
      <c r="HH13" s="342"/>
      <c r="HI13" s="342"/>
      <c r="HJ13" s="343">
        <f>MAL!HS2</f>
        <v>0</v>
      </c>
      <c r="HK13" s="343"/>
      <c r="HL13" s="343"/>
      <c r="HM13" s="343"/>
      <c r="HN13" s="343"/>
      <c r="HO13" s="326" t="s">
        <v>1981</v>
      </c>
      <c r="HP13" s="326"/>
      <c r="HQ13" s="326"/>
      <c r="HR13" s="327">
        <f>MAL!HU2</f>
        <v>0</v>
      </c>
      <c r="HS13" s="327"/>
      <c r="HT13" s="327"/>
      <c r="HU13" s="327"/>
      <c r="HV13" s="327"/>
      <c r="HW13" s="337"/>
      <c r="HY13" s="338" t="s">
        <v>1982</v>
      </c>
      <c r="HZ13" s="338">
        <v>1</v>
      </c>
      <c r="IG13" s="344" t="e">
        <f>#VALUE!</f>
        <v>#VALUE!</v>
      </c>
      <c r="IH13" s="344"/>
      <c r="II13" s="344"/>
      <c r="IJ13" s="344"/>
      <c r="IK13" s="344"/>
      <c r="IL13" s="344"/>
      <c r="IM13" s="344"/>
      <c r="IN13" s="340" t="e">
        <f>#VALUE!</f>
        <v>#VALUE!</v>
      </c>
      <c r="IO13" s="340"/>
      <c r="IP13" s="340"/>
      <c r="IQ13" s="340"/>
      <c r="IR13" s="340"/>
      <c r="IS13" s="331" t="s">
        <v>1981</v>
      </c>
      <c r="IT13" s="331"/>
      <c r="IU13" s="331"/>
      <c r="IV13" s="333" t="e">
        <f>#VALUE!</f>
        <v>#VALUE!</v>
      </c>
      <c r="IW13" s="333"/>
      <c r="IX13" s="333"/>
      <c r="IY13" s="333"/>
      <c r="IZ13" s="333"/>
      <c r="JA13" s="337"/>
      <c r="JC13" s="338" t="s">
        <v>1982</v>
      </c>
      <c r="JD13" s="338">
        <v>1</v>
      </c>
      <c r="JK13" s="344">
        <f>MAL!HT2</f>
        <v>0</v>
      </c>
      <c r="JL13" s="344"/>
      <c r="JM13" s="344"/>
      <c r="JN13" s="344"/>
      <c r="JO13" s="344"/>
      <c r="JP13" s="344"/>
      <c r="JQ13" s="344"/>
      <c r="JR13" s="340">
        <f>MAL!HS2</f>
        <v>0</v>
      </c>
      <c r="JS13" s="340"/>
      <c r="JT13" s="340"/>
      <c r="JU13" s="340"/>
      <c r="JV13" s="340"/>
      <c r="JW13" s="331" t="s">
        <v>1981</v>
      </c>
      <c r="JX13" s="331"/>
      <c r="JY13" s="331"/>
      <c r="JZ13" s="333">
        <f>MAL!HU2</f>
        <v>0</v>
      </c>
      <c r="KA13" s="333"/>
      <c r="KB13" s="333"/>
      <c r="KC13" s="333"/>
      <c r="KD13" s="333"/>
      <c r="KE13" s="337"/>
      <c r="KG13" s="338" t="s">
        <v>1982</v>
      </c>
      <c r="KH13" s="338">
        <v>1</v>
      </c>
      <c r="KO13" s="344">
        <f>MAL!HT3</f>
        <v>0</v>
      </c>
      <c r="KP13" s="344"/>
      <c r="KQ13" s="344"/>
      <c r="KR13" s="344"/>
      <c r="KS13" s="344"/>
      <c r="KT13" s="344"/>
      <c r="KU13" s="344"/>
      <c r="KV13" s="330">
        <f>MAL!HS3</f>
        <v>0</v>
      </c>
      <c r="KW13" s="330"/>
      <c r="KX13" s="330"/>
      <c r="KY13" s="330"/>
      <c r="KZ13" s="330"/>
      <c r="LA13" s="331" t="s">
        <v>1981</v>
      </c>
      <c r="LB13" s="331"/>
      <c r="LC13" s="331"/>
      <c r="LD13" s="332">
        <f>MAL!HU3</f>
        <v>0</v>
      </c>
      <c r="LE13" s="332"/>
      <c r="LF13" s="332"/>
      <c r="LG13" s="332"/>
      <c r="LH13" s="332"/>
      <c r="LI13" s="337"/>
      <c r="LK13" s="338" t="s">
        <v>1982</v>
      </c>
      <c r="LL13" s="338">
        <v>1</v>
      </c>
      <c r="LS13" s="345" t="e">
        <f>#VALUE!</f>
        <v>#VALUE!</v>
      </c>
      <c r="LT13" s="345"/>
      <c r="LU13" s="345"/>
      <c r="LV13" s="345"/>
      <c r="LW13" s="345"/>
      <c r="LX13" s="345"/>
      <c r="LY13" s="345"/>
      <c r="LZ13" s="340" t="e">
        <f>#VALUE!</f>
        <v>#VALUE!</v>
      </c>
      <c r="MA13" s="340"/>
      <c r="MB13" s="340"/>
      <c r="MC13" s="340"/>
      <c r="MD13" s="340"/>
      <c r="ME13" s="331" t="s">
        <v>1981</v>
      </c>
      <c r="MF13" s="331"/>
      <c r="MG13" s="331"/>
      <c r="MH13" s="333" t="e">
        <f>#VALUE!</f>
        <v>#VALUE!</v>
      </c>
      <c r="MI13" s="333"/>
      <c r="MJ13" s="333"/>
      <c r="MK13" s="333"/>
      <c r="ML13" s="333"/>
      <c r="MM13" s="337"/>
      <c r="MO13" s="338" t="s">
        <v>1982</v>
      </c>
      <c r="MP13" s="338">
        <v>1</v>
      </c>
      <c r="MW13" s="344" t="s">
        <v>1991</v>
      </c>
      <c r="MX13" s="344"/>
      <c r="MY13" s="344"/>
      <c r="MZ13" s="344"/>
      <c r="NA13" s="344"/>
      <c r="NB13" s="344"/>
      <c r="NC13" s="344"/>
      <c r="ND13" s="340" t="s">
        <v>1992</v>
      </c>
      <c r="NE13" s="340"/>
      <c r="NF13" s="340"/>
      <c r="NG13" s="340"/>
      <c r="NH13" s="340"/>
      <c r="NI13" s="331" t="s">
        <v>1981</v>
      </c>
      <c r="NJ13" s="331"/>
      <c r="NK13" s="331"/>
      <c r="NL13" s="333" t="s">
        <v>1993</v>
      </c>
      <c r="NM13" s="333"/>
      <c r="NN13" s="333"/>
      <c r="NO13" s="333"/>
      <c r="NP13" s="333"/>
      <c r="NQ13" s="337"/>
      <c r="NS13" s="338" t="s">
        <v>1982</v>
      </c>
      <c r="NT13" s="338">
        <v>1</v>
      </c>
      <c r="OA13" s="344" t="s">
        <v>1991</v>
      </c>
      <c r="OB13" s="344"/>
      <c r="OC13" s="344"/>
      <c r="OD13" s="344"/>
      <c r="OE13" s="344"/>
      <c r="OF13" s="344"/>
      <c r="OG13" s="344"/>
      <c r="OH13" s="340" t="s">
        <v>1992</v>
      </c>
      <c r="OI13" s="340"/>
      <c r="OJ13" s="340"/>
      <c r="OK13" s="340"/>
      <c r="OL13" s="340"/>
      <c r="OM13" s="331" t="s">
        <v>1981</v>
      </c>
      <c r="ON13" s="331"/>
      <c r="OO13" s="331"/>
      <c r="OP13" s="333" t="s">
        <v>1993</v>
      </c>
      <c r="OQ13" s="333"/>
      <c r="OR13" s="333"/>
      <c r="OS13" s="333"/>
      <c r="OT13" s="333"/>
      <c r="OU13" s="337"/>
      <c r="OW13" s="338" t="s">
        <v>1982</v>
      </c>
      <c r="OX13" s="338">
        <v>1</v>
      </c>
      <c r="PE13" s="342">
        <f>MAL!PV2</f>
        <v>0</v>
      </c>
      <c r="PF13" s="342"/>
      <c r="PG13" s="342"/>
      <c r="PH13" s="342"/>
      <c r="PI13" s="342"/>
      <c r="PJ13" s="342"/>
      <c r="PK13" s="342"/>
      <c r="PL13" s="343">
        <f>MAL!PU2</f>
        <v>0</v>
      </c>
      <c r="PM13" s="343"/>
      <c r="PN13" s="343"/>
      <c r="PO13" s="343"/>
      <c r="PP13" s="343"/>
      <c r="PQ13" s="326" t="s">
        <v>1981</v>
      </c>
      <c r="PR13" s="326"/>
      <c r="PS13" s="326"/>
      <c r="PT13" s="327">
        <f>MAL!PW2</f>
        <v>0</v>
      </c>
      <c r="PU13" s="327"/>
      <c r="PV13" s="327"/>
      <c r="PW13" s="327"/>
      <c r="PX13" s="327"/>
      <c r="PY13" s="337"/>
      <c r="QA13" s="338" t="s">
        <v>1982</v>
      </c>
      <c r="QB13" s="338">
        <v>1</v>
      </c>
      <c r="QI13" s="344" t="e">
        <f>#VALUE!</f>
        <v>#VALUE!</v>
      </c>
      <c r="QJ13" s="344"/>
      <c r="QK13" s="344"/>
      <c r="QL13" s="344"/>
      <c r="QM13" s="344"/>
      <c r="QN13" s="344"/>
      <c r="QO13" s="344"/>
      <c r="QP13" s="340" t="e">
        <f>#VALUE!</f>
        <v>#VALUE!</v>
      </c>
      <c r="QQ13" s="340"/>
      <c r="QR13" s="340"/>
      <c r="QS13" s="340"/>
      <c r="QT13" s="340"/>
      <c r="QU13" s="331" t="s">
        <v>1981</v>
      </c>
      <c r="QV13" s="331"/>
      <c r="QW13" s="331"/>
      <c r="QX13" s="333" t="e">
        <f>#VALUE!</f>
        <v>#VALUE!</v>
      </c>
      <c r="QY13" s="333"/>
      <c r="QZ13" s="333"/>
      <c r="RA13" s="333"/>
      <c r="RB13" s="333"/>
      <c r="RC13" s="337"/>
      <c r="RE13" s="338" t="s">
        <v>1982</v>
      </c>
      <c r="RF13" s="338">
        <v>1</v>
      </c>
      <c r="RM13" s="344">
        <f>MAL!PV2</f>
        <v>0</v>
      </c>
      <c r="RN13" s="344"/>
      <c r="RO13" s="344"/>
      <c r="RP13" s="344"/>
      <c r="RQ13" s="344"/>
      <c r="RR13" s="344"/>
      <c r="RS13" s="344"/>
      <c r="RT13" s="340">
        <f>MAL!PU2</f>
        <v>0</v>
      </c>
      <c r="RU13" s="340"/>
      <c r="RV13" s="340"/>
      <c r="RW13" s="340"/>
      <c r="RX13" s="340"/>
      <c r="RY13" s="331" t="s">
        <v>1981</v>
      </c>
      <c r="RZ13" s="331"/>
      <c r="SA13" s="331"/>
      <c r="SB13" s="333">
        <f>MAL!PW2</f>
        <v>0</v>
      </c>
      <c r="SC13" s="333"/>
      <c r="SD13" s="333"/>
      <c r="SE13" s="333"/>
      <c r="SF13" s="333"/>
      <c r="SG13" s="337"/>
      <c r="SI13" s="338" t="s">
        <v>1982</v>
      </c>
      <c r="SJ13" s="338">
        <v>1</v>
      </c>
      <c r="SQ13" s="344">
        <f>MAL!PV3</f>
        <v>0</v>
      </c>
      <c r="SR13" s="344"/>
      <c r="SS13" s="344"/>
      <c r="ST13" s="344"/>
      <c r="SU13" s="344"/>
      <c r="SV13" s="344"/>
      <c r="SW13" s="344"/>
      <c r="SX13" s="330">
        <f>MAL!PU3</f>
        <v>0</v>
      </c>
      <c r="SY13" s="330"/>
      <c r="SZ13" s="330"/>
      <c r="TA13" s="330"/>
      <c r="TB13" s="330"/>
      <c r="TC13" s="331" t="s">
        <v>1981</v>
      </c>
      <c r="TD13" s="331"/>
      <c r="TE13" s="331"/>
      <c r="TF13" s="332">
        <f>MAL!PW3</f>
        <v>0</v>
      </c>
      <c r="TG13" s="332"/>
      <c r="TH13" s="332"/>
      <c r="TI13" s="332"/>
      <c r="TJ13" s="332"/>
      <c r="TK13" s="337"/>
      <c r="TM13" s="338" t="s">
        <v>1982</v>
      </c>
      <c r="TN13" s="338">
        <v>1</v>
      </c>
      <c r="TU13" s="345" t="e">
        <f>#VALUE!</f>
        <v>#VALUE!</v>
      </c>
      <c r="TV13" s="345"/>
      <c r="TW13" s="345"/>
      <c r="TX13" s="345"/>
      <c r="TY13" s="345"/>
      <c r="TZ13" s="345"/>
      <c r="UA13" s="345"/>
      <c r="UB13" s="340" t="e">
        <f>#VALUE!</f>
        <v>#VALUE!</v>
      </c>
      <c r="UC13" s="340"/>
      <c r="UD13" s="340"/>
      <c r="UE13" s="340"/>
      <c r="UF13" s="340"/>
      <c r="UG13" s="331" t="s">
        <v>1981</v>
      </c>
      <c r="UH13" s="331"/>
      <c r="UI13" s="331"/>
      <c r="UJ13" s="333" t="e">
        <f>#VALUE!</f>
        <v>#VALUE!</v>
      </c>
      <c r="UK13" s="333"/>
      <c r="UL13" s="333"/>
      <c r="UM13" s="333"/>
      <c r="UN13" s="333"/>
      <c r="UO13" s="337"/>
      <c r="UQ13" s="338" t="s">
        <v>1982</v>
      </c>
      <c r="UR13" s="338">
        <v>1</v>
      </c>
      <c r="UY13" s="344" t="s">
        <v>1991</v>
      </c>
      <c r="UZ13" s="344"/>
      <c r="VA13" s="344"/>
      <c r="VB13" s="344"/>
      <c r="VC13" s="344"/>
      <c r="VD13" s="344"/>
      <c r="VE13" s="344"/>
      <c r="VF13" s="340" t="s">
        <v>1992</v>
      </c>
      <c r="VG13" s="340"/>
      <c r="VH13" s="340"/>
      <c r="VI13" s="340"/>
      <c r="VJ13" s="340"/>
      <c r="VK13" s="331" t="s">
        <v>1981</v>
      </c>
      <c r="VL13" s="331"/>
      <c r="VM13" s="331"/>
      <c r="VN13" s="333" t="s">
        <v>1993</v>
      </c>
      <c r="VO13" s="333"/>
      <c r="VP13" s="333"/>
      <c r="VQ13" s="333"/>
      <c r="VR13" s="333"/>
      <c r="VS13" s="337"/>
      <c r="VU13" s="338" t="s">
        <v>1982</v>
      </c>
      <c r="VV13" s="338">
        <v>1</v>
      </c>
      <c r="WC13" s="344" t="s">
        <v>1991</v>
      </c>
      <c r="WD13" s="344"/>
      <c r="WE13" s="344"/>
      <c r="WF13" s="344"/>
      <c r="WG13" s="344"/>
      <c r="WH13" s="344"/>
      <c r="WI13" s="344"/>
      <c r="WJ13" s="340" t="s">
        <v>1992</v>
      </c>
      <c r="WK13" s="340"/>
      <c r="WL13" s="340"/>
      <c r="WM13" s="340"/>
      <c r="WN13" s="340"/>
      <c r="WO13" s="331" t="s">
        <v>1981</v>
      </c>
      <c r="WP13" s="331"/>
      <c r="WQ13" s="331"/>
      <c r="WR13" s="333" t="s">
        <v>1993</v>
      </c>
      <c r="WS13" s="333"/>
      <c r="WT13" s="333"/>
      <c r="WU13" s="333"/>
      <c r="WV13" s="333"/>
      <c r="WW13" s="337"/>
      <c r="WY13" s="338" t="s">
        <v>1982</v>
      </c>
      <c r="WZ13" s="338">
        <v>1</v>
      </c>
      <c r="XG13" s="342">
        <f>MAL!XX2</f>
        <v>0</v>
      </c>
      <c r="XH13" s="342"/>
      <c r="XI13" s="342"/>
      <c r="XJ13" s="342"/>
      <c r="XK13" s="342"/>
      <c r="XL13" s="342"/>
      <c r="XM13" s="342"/>
      <c r="XN13" s="343">
        <f>MAL!XW2</f>
        <v>0</v>
      </c>
      <c r="XO13" s="343"/>
      <c r="XP13" s="343"/>
      <c r="XQ13" s="343"/>
      <c r="XR13" s="343"/>
      <c r="XS13" s="326" t="s">
        <v>1981</v>
      </c>
      <c r="XT13" s="326"/>
      <c r="XU13" s="326"/>
      <c r="XV13" s="327">
        <f>MAL!XY2</f>
        <v>0</v>
      </c>
      <c r="XW13" s="327"/>
      <c r="XX13" s="327"/>
      <c r="XY13" s="327"/>
      <c r="XZ13" s="327"/>
      <c r="YA13" s="337"/>
      <c r="YC13" s="338" t="s">
        <v>1982</v>
      </c>
      <c r="YD13" s="338">
        <v>1</v>
      </c>
      <c r="YK13" s="344" t="e">
        <f>#VALUE!</f>
        <v>#VALUE!</v>
      </c>
      <c r="YL13" s="344"/>
      <c r="YM13" s="344"/>
      <c r="YN13" s="344"/>
      <c r="YO13" s="344"/>
      <c r="YP13" s="344"/>
      <c r="YQ13" s="344"/>
      <c r="YR13" s="340" t="e">
        <f>#VALUE!</f>
        <v>#VALUE!</v>
      </c>
      <c r="YS13" s="340"/>
      <c r="YT13" s="340"/>
      <c r="YU13" s="340"/>
      <c r="YV13" s="340"/>
      <c r="YW13" s="331" t="s">
        <v>1981</v>
      </c>
      <c r="YX13" s="331"/>
      <c r="YY13" s="331"/>
      <c r="YZ13" s="333" t="e">
        <f>#VALUE!</f>
        <v>#VALUE!</v>
      </c>
      <c r="ZA13" s="333"/>
      <c r="ZB13" s="333"/>
      <c r="ZC13" s="333"/>
      <c r="ZD13" s="333"/>
      <c r="ZE13" s="337"/>
      <c r="ZG13" s="338" t="s">
        <v>1982</v>
      </c>
      <c r="ZH13" s="338">
        <v>1</v>
      </c>
      <c r="ZO13" s="344">
        <f>MAL!XX2</f>
        <v>0</v>
      </c>
      <c r="ZP13" s="344"/>
      <c r="ZQ13" s="344"/>
      <c r="ZR13" s="344"/>
      <c r="ZS13" s="344"/>
      <c r="ZT13" s="344"/>
      <c r="ZU13" s="344"/>
      <c r="ZV13" s="340">
        <f>MAL!XW2</f>
        <v>0</v>
      </c>
      <c r="ZW13" s="340"/>
      <c r="ZX13" s="340"/>
      <c r="ZY13" s="340"/>
      <c r="ZZ13" s="340"/>
      <c r="AAA13" s="331" t="s">
        <v>1981</v>
      </c>
      <c r="AAB13" s="331"/>
      <c r="AAC13" s="331"/>
      <c r="AAD13" s="333">
        <f>MAL!XY2</f>
        <v>0</v>
      </c>
      <c r="AAE13" s="333"/>
      <c r="AAF13" s="333"/>
      <c r="AAG13" s="333"/>
      <c r="AAH13" s="333"/>
      <c r="AAI13" s="337"/>
      <c r="AAK13" s="338" t="s">
        <v>1982</v>
      </c>
      <c r="AAL13" s="338">
        <v>1</v>
      </c>
      <c r="AAS13" s="344">
        <f>MAL!XX3</f>
        <v>0</v>
      </c>
      <c r="AAT13" s="344"/>
      <c r="AAU13" s="344"/>
      <c r="AAV13" s="344"/>
      <c r="AAW13" s="344"/>
      <c r="AAX13" s="344"/>
      <c r="AAY13" s="344"/>
      <c r="AAZ13" s="330">
        <f>MAL!XW3</f>
        <v>0</v>
      </c>
      <c r="ABA13" s="330"/>
      <c r="ABB13" s="330"/>
      <c r="ABC13" s="330"/>
      <c r="ABD13" s="330"/>
      <c r="ABE13" s="331" t="s">
        <v>1981</v>
      </c>
      <c r="ABF13" s="331"/>
      <c r="ABG13" s="331"/>
      <c r="ABH13" s="332">
        <f>MAL!XY3</f>
        <v>0</v>
      </c>
      <c r="ABI13" s="332"/>
      <c r="ABJ13" s="332"/>
      <c r="ABK13" s="332"/>
      <c r="ABL13" s="332"/>
      <c r="ABM13" s="337"/>
      <c r="ABO13" s="338" t="s">
        <v>1982</v>
      </c>
      <c r="ABP13" s="338">
        <v>1</v>
      </c>
      <c r="ABW13" s="345" t="e">
        <f>#VALUE!</f>
        <v>#VALUE!</v>
      </c>
      <c r="ABX13" s="345"/>
      <c r="ABY13" s="345"/>
      <c r="ABZ13" s="345"/>
      <c r="ACA13" s="345"/>
      <c r="ACB13" s="345"/>
      <c r="ACC13" s="345"/>
      <c r="ACD13" s="340" t="e">
        <f>#VALUE!</f>
        <v>#VALUE!</v>
      </c>
      <c r="ACE13" s="340"/>
      <c r="ACF13" s="340"/>
      <c r="ACG13" s="340"/>
      <c r="ACH13" s="340"/>
      <c r="ACI13" s="331" t="s">
        <v>1981</v>
      </c>
      <c r="ACJ13" s="331"/>
      <c r="ACK13" s="331"/>
      <c r="ACL13" s="333" t="e">
        <f>#VALUE!</f>
        <v>#VALUE!</v>
      </c>
      <c r="ACM13" s="333"/>
      <c r="ACN13" s="333"/>
      <c r="ACO13" s="333"/>
      <c r="ACP13" s="333"/>
      <c r="ACQ13" s="337"/>
      <c r="ACS13" s="338" t="s">
        <v>1982</v>
      </c>
      <c r="ACT13" s="338">
        <v>1</v>
      </c>
      <c r="ADA13" s="344" t="s">
        <v>1991</v>
      </c>
      <c r="ADB13" s="344"/>
      <c r="ADC13" s="344"/>
      <c r="ADD13" s="344"/>
      <c r="ADE13" s="344"/>
      <c r="ADF13" s="344"/>
      <c r="ADG13" s="344"/>
      <c r="ADH13" s="340" t="s">
        <v>1992</v>
      </c>
      <c r="ADI13" s="340"/>
      <c r="ADJ13" s="340"/>
      <c r="ADK13" s="340"/>
      <c r="ADL13" s="340"/>
      <c r="ADM13" s="331" t="s">
        <v>1981</v>
      </c>
      <c r="ADN13" s="331"/>
      <c r="ADO13" s="331"/>
      <c r="ADP13" s="333" t="s">
        <v>1993</v>
      </c>
      <c r="ADQ13" s="333"/>
      <c r="ADR13" s="333"/>
      <c r="ADS13" s="333"/>
      <c r="ADT13" s="333"/>
      <c r="ADU13" s="337"/>
      <c r="ADW13" s="338" t="s">
        <v>1982</v>
      </c>
      <c r="ADX13" s="338">
        <v>1</v>
      </c>
      <c r="AEE13" s="344" t="s">
        <v>1991</v>
      </c>
      <c r="AEF13" s="344"/>
      <c r="AEG13" s="344"/>
      <c r="AEH13" s="344"/>
      <c r="AEI13" s="344"/>
      <c r="AEJ13" s="344"/>
      <c r="AEK13" s="344"/>
      <c r="AEL13" s="340" t="s">
        <v>1992</v>
      </c>
      <c r="AEM13" s="340"/>
      <c r="AEN13" s="340"/>
      <c r="AEO13" s="340"/>
      <c r="AEP13" s="340"/>
      <c r="AEQ13" s="331" t="s">
        <v>1981</v>
      </c>
      <c r="AER13" s="331"/>
      <c r="AES13" s="331"/>
      <c r="AET13" s="333" t="s">
        <v>1993</v>
      </c>
      <c r="AEU13" s="333"/>
      <c r="AEV13" s="333"/>
      <c r="AEW13" s="333"/>
      <c r="AEX13" s="333"/>
      <c r="AEY13" s="337"/>
      <c r="AFA13" s="338" t="s">
        <v>1982</v>
      </c>
      <c r="AFB13" s="338">
        <v>1</v>
      </c>
      <c r="AFI13" s="342">
        <f>MAL!AFZ2</f>
        <v>0</v>
      </c>
      <c r="AFJ13" s="342"/>
      <c r="AFK13" s="342"/>
      <c r="AFL13" s="342"/>
      <c r="AFM13" s="342"/>
      <c r="AFN13" s="342"/>
      <c r="AFO13" s="342"/>
      <c r="AFP13" s="343">
        <f>MAL!AFY2</f>
        <v>0</v>
      </c>
      <c r="AFQ13" s="343"/>
      <c r="AFR13" s="343"/>
      <c r="AFS13" s="343"/>
      <c r="AFT13" s="343"/>
      <c r="AFU13" s="326" t="s">
        <v>1981</v>
      </c>
      <c r="AFV13" s="326"/>
      <c r="AFW13" s="326"/>
      <c r="AFX13" s="327">
        <f>MAL!AGA2</f>
        <v>0</v>
      </c>
      <c r="AFY13" s="327"/>
      <c r="AFZ13" s="327"/>
      <c r="AGA13" s="327"/>
      <c r="AGB13" s="327"/>
      <c r="AGC13" s="337"/>
      <c r="AGE13" s="338" t="s">
        <v>1982</v>
      </c>
      <c r="AGF13" s="338">
        <v>1</v>
      </c>
      <c r="AGM13" s="344" t="e">
        <f>#VALUE!</f>
        <v>#VALUE!</v>
      </c>
      <c r="AGN13" s="344"/>
      <c r="AGO13" s="344"/>
      <c r="AGP13" s="344"/>
      <c r="AGQ13" s="344"/>
      <c r="AGR13" s="344"/>
      <c r="AGS13" s="344"/>
      <c r="AGT13" s="340" t="e">
        <f>#VALUE!</f>
        <v>#VALUE!</v>
      </c>
      <c r="AGU13" s="340"/>
      <c r="AGV13" s="340"/>
      <c r="AGW13" s="340"/>
      <c r="AGX13" s="340"/>
      <c r="AGY13" s="331" t="s">
        <v>1981</v>
      </c>
      <c r="AGZ13" s="331"/>
      <c r="AHA13" s="331"/>
      <c r="AHB13" s="333" t="e">
        <f>#VALUE!</f>
        <v>#VALUE!</v>
      </c>
      <c r="AHC13" s="333"/>
      <c r="AHD13" s="333"/>
      <c r="AHE13" s="333"/>
      <c r="AHF13" s="333"/>
      <c r="AHG13" s="337"/>
      <c r="AHI13" s="338" t="s">
        <v>1982</v>
      </c>
      <c r="AHJ13" s="338">
        <v>1</v>
      </c>
      <c r="AHQ13" s="344">
        <f>MAL!AFZ2</f>
        <v>0</v>
      </c>
      <c r="AHR13" s="344"/>
      <c r="AHS13" s="344"/>
      <c r="AHT13" s="344"/>
      <c r="AHU13" s="344"/>
      <c r="AHV13" s="344"/>
      <c r="AHW13" s="344"/>
      <c r="AHX13" s="340">
        <f>MAL!AFY2</f>
        <v>0</v>
      </c>
      <c r="AHY13" s="340"/>
      <c r="AHZ13" s="340"/>
      <c r="AIA13" s="340"/>
      <c r="AIB13" s="340"/>
      <c r="AIC13" s="331" t="s">
        <v>1981</v>
      </c>
      <c r="AID13" s="331"/>
      <c r="AIE13" s="331"/>
      <c r="AIF13" s="333">
        <f>MAL!AGA2</f>
        <v>0</v>
      </c>
      <c r="AIG13" s="333"/>
      <c r="AIH13" s="333"/>
      <c r="AII13" s="333"/>
      <c r="AIJ13" s="333"/>
      <c r="AIK13" s="337"/>
      <c r="AIM13" s="338" t="s">
        <v>1982</v>
      </c>
      <c r="AIN13" s="338">
        <v>1</v>
      </c>
      <c r="AIU13" s="344">
        <f>MAL!AFZ3</f>
        <v>0</v>
      </c>
      <c r="AIV13" s="344"/>
      <c r="AIW13" s="344"/>
      <c r="AIX13" s="344"/>
      <c r="AIY13" s="344"/>
      <c r="AIZ13" s="344"/>
      <c r="AJA13" s="344"/>
      <c r="AJB13" s="330">
        <f>MAL!AFY3</f>
        <v>0</v>
      </c>
      <c r="AJC13" s="330"/>
      <c r="AJD13" s="330"/>
      <c r="AJE13" s="330"/>
      <c r="AJF13" s="330"/>
      <c r="AJG13" s="331" t="s">
        <v>1981</v>
      </c>
      <c r="AJH13" s="331"/>
      <c r="AJI13" s="331"/>
      <c r="AJJ13" s="332">
        <f>MAL!AGA3</f>
        <v>0</v>
      </c>
      <c r="AJK13" s="332"/>
      <c r="AJL13" s="332"/>
      <c r="AJM13" s="332"/>
      <c r="AJN13" s="332"/>
      <c r="AJO13" s="337"/>
      <c r="AJQ13" s="338" t="s">
        <v>1982</v>
      </c>
      <c r="AJR13" s="338">
        <v>1</v>
      </c>
      <c r="AJY13" s="345" t="e">
        <f>#VALUE!</f>
        <v>#VALUE!</v>
      </c>
      <c r="AJZ13" s="345"/>
      <c r="AKA13" s="345"/>
      <c r="AKB13" s="345"/>
      <c r="AKC13" s="345"/>
      <c r="AKD13" s="345"/>
      <c r="AKE13" s="345"/>
      <c r="AKF13" s="340" t="e">
        <f>#VALUE!</f>
        <v>#VALUE!</v>
      </c>
      <c r="AKG13" s="340"/>
      <c r="AKH13" s="340"/>
      <c r="AKI13" s="340"/>
      <c r="AKJ13" s="340"/>
      <c r="AKK13" s="331" t="s">
        <v>1981</v>
      </c>
      <c r="AKL13" s="331"/>
      <c r="AKM13" s="331"/>
      <c r="AKN13" s="333" t="e">
        <f>#VALUE!</f>
        <v>#VALUE!</v>
      </c>
      <c r="AKO13" s="333"/>
      <c r="AKP13" s="333"/>
      <c r="AKQ13" s="333"/>
      <c r="AKR13" s="333"/>
      <c r="AKS13" s="337"/>
      <c r="AKU13" s="338" t="s">
        <v>1982</v>
      </c>
      <c r="AKV13" s="338">
        <v>1</v>
      </c>
      <c r="ALC13" s="344" t="s">
        <v>1991</v>
      </c>
      <c r="ALD13" s="344"/>
      <c r="ALE13" s="344"/>
      <c r="ALF13" s="344"/>
      <c r="ALG13" s="344"/>
      <c r="ALH13" s="344"/>
      <c r="ALI13" s="344"/>
      <c r="ALJ13" s="340" t="s">
        <v>1992</v>
      </c>
      <c r="ALK13" s="340"/>
      <c r="ALL13" s="340"/>
      <c r="ALM13" s="340"/>
      <c r="ALN13" s="340"/>
      <c r="ALO13" s="331" t="s">
        <v>1981</v>
      </c>
      <c r="ALP13" s="331"/>
      <c r="ALQ13" s="331"/>
      <c r="ALR13" s="333" t="s">
        <v>1993</v>
      </c>
      <c r="ALS13" s="333"/>
      <c r="ALT13" s="333"/>
      <c r="ALU13" s="333"/>
      <c r="ALV13" s="333"/>
      <c r="ALW13" s="337"/>
      <c r="ALY13" s="338" t="s">
        <v>1982</v>
      </c>
      <c r="ALZ13" s="338">
        <v>1</v>
      </c>
      <c r="AMG13" s="342" t="s">
        <v>1991</v>
      </c>
      <c r="AMH13" s="342"/>
      <c r="AMI13" s="342"/>
      <c r="AMJ13" s="342"/>
    </row>
    <row r="14" spans="1:1024" x14ac:dyDescent="0.2">
      <c r="A14" s="335"/>
      <c r="B14" s="335"/>
      <c r="C14" s="335"/>
      <c r="D14" s="335"/>
      <c r="E14" s="335"/>
      <c r="F14" s="335"/>
      <c r="G14" s="335"/>
      <c r="H14" s="343" t="str">
        <f>MAL!N2</f>
        <v>PVS-14</v>
      </c>
      <c r="I14" s="343"/>
      <c r="J14" s="343"/>
      <c r="K14" s="343"/>
      <c r="L14" s="343"/>
      <c r="M14" s="326" t="s">
        <v>1981</v>
      </c>
      <c r="N14" s="326"/>
      <c r="O14" s="326"/>
      <c r="P14" s="346" t="str">
        <f>MAL!O2</f>
        <v>6542869</v>
      </c>
      <c r="Q14" s="346"/>
      <c r="R14" s="346"/>
      <c r="S14" s="346"/>
      <c r="T14" s="346"/>
      <c r="U14" s="337"/>
      <c r="W14" s="338" t="s">
        <v>1982</v>
      </c>
      <c r="X14" s="338">
        <v>1</v>
      </c>
      <c r="AE14" s="339"/>
      <c r="AF14" s="339"/>
      <c r="AG14" s="339"/>
      <c r="AH14" s="339"/>
      <c r="AI14" s="339"/>
      <c r="AJ14" s="339"/>
      <c r="AK14" s="339"/>
      <c r="AL14" s="340" t="str">
        <f>MAL!N3</f>
        <v>PVS-14</v>
      </c>
      <c r="AM14" s="340"/>
      <c r="AN14" s="340"/>
      <c r="AO14" s="340"/>
      <c r="AP14" s="340"/>
      <c r="AQ14" s="331" t="s">
        <v>1981</v>
      </c>
      <c r="AR14" s="331"/>
      <c r="AS14" s="331"/>
      <c r="AT14" s="333" t="str">
        <f>MAL!O26</f>
        <v>74106860</v>
      </c>
      <c r="AU14" s="333"/>
      <c r="AV14" s="333"/>
      <c r="AW14" s="333"/>
      <c r="AX14" s="333"/>
      <c r="AY14" s="337"/>
      <c r="BA14" s="338" t="s">
        <v>1982</v>
      </c>
      <c r="BB14" s="338">
        <v>1</v>
      </c>
      <c r="BI14" s="339"/>
      <c r="BJ14" s="339"/>
      <c r="BK14" s="339"/>
      <c r="BL14" s="339"/>
      <c r="BM14" s="339"/>
      <c r="BN14" s="339"/>
      <c r="BO14" s="339"/>
      <c r="BP14" s="340" t="str">
        <f>MAL!N2</f>
        <v>PVS-14</v>
      </c>
      <c r="BQ14" s="340"/>
      <c r="BR14" s="340"/>
      <c r="BS14" s="340"/>
      <c r="BT14" s="340"/>
      <c r="BU14" s="331" t="s">
        <v>1981</v>
      </c>
      <c r="BV14" s="331"/>
      <c r="BW14" s="331"/>
      <c r="BX14" s="333" t="str">
        <f>MAL!O2</f>
        <v>6542869</v>
      </c>
      <c r="BY14" s="333"/>
      <c r="BZ14" s="333"/>
      <c r="CA14" s="333"/>
      <c r="CB14" s="333"/>
      <c r="CC14" s="337"/>
      <c r="CE14" s="338" t="s">
        <v>1982</v>
      </c>
      <c r="CF14" s="338">
        <v>1</v>
      </c>
      <c r="CM14" s="339"/>
      <c r="CN14" s="339"/>
      <c r="CO14" s="339"/>
      <c r="CP14" s="339"/>
      <c r="CQ14" s="339"/>
      <c r="CR14" s="339"/>
      <c r="CS14" s="339"/>
      <c r="CT14" s="340" t="str">
        <f>MAL!N3</f>
        <v>PVS-14</v>
      </c>
      <c r="CU14" s="340"/>
      <c r="CV14" s="340"/>
      <c r="CW14" s="340"/>
      <c r="CX14" s="340"/>
      <c r="CY14" s="331" t="s">
        <v>1981</v>
      </c>
      <c r="CZ14" s="331"/>
      <c r="DA14" s="331"/>
      <c r="DB14" s="333" t="str">
        <f>MAL!O26</f>
        <v>74106860</v>
      </c>
      <c r="DC14" s="333"/>
      <c r="DD14" s="333"/>
      <c r="DE14" s="333"/>
      <c r="DF14" s="333"/>
      <c r="DG14" s="337"/>
      <c r="DI14" s="338" t="s">
        <v>1982</v>
      </c>
      <c r="DJ14" s="338">
        <v>1</v>
      </c>
      <c r="DQ14" s="339"/>
      <c r="DR14" s="339"/>
      <c r="DS14" s="339"/>
      <c r="DT14" s="339"/>
      <c r="DU14" s="339"/>
      <c r="DV14" s="339"/>
      <c r="DW14" s="339"/>
      <c r="DX14" s="340" t="e">
        <f>#VALUE!</f>
        <v>#VALUE!</v>
      </c>
      <c r="DY14" s="340"/>
      <c r="DZ14" s="340"/>
      <c r="EA14" s="340"/>
      <c r="EB14" s="340"/>
      <c r="EC14" s="331" t="s">
        <v>1981</v>
      </c>
      <c r="ED14" s="331"/>
      <c r="EE14" s="331"/>
      <c r="EF14" s="333" t="e">
        <f>#VALUE!</f>
        <v>#VALUE!</v>
      </c>
      <c r="EG14" s="333"/>
      <c r="EH14" s="333"/>
      <c r="EI14" s="333"/>
      <c r="EJ14" s="333"/>
      <c r="EK14" s="337"/>
      <c r="EM14" s="338" t="s">
        <v>1982</v>
      </c>
      <c r="EN14" s="338">
        <v>1</v>
      </c>
      <c r="EU14" s="339"/>
      <c r="EV14" s="339"/>
      <c r="EW14" s="339"/>
      <c r="EX14" s="339"/>
      <c r="EY14" s="339"/>
      <c r="EZ14" s="339"/>
      <c r="FA14" s="339"/>
      <c r="FB14" s="340" t="s">
        <v>1994</v>
      </c>
      <c r="FC14" s="340"/>
      <c r="FD14" s="340"/>
      <c r="FE14" s="340"/>
      <c r="FF14" s="340"/>
      <c r="FG14" s="331" t="s">
        <v>1981</v>
      </c>
      <c r="FH14" s="331"/>
      <c r="FI14" s="331"/>
      <c r="FJ14" s="333" t="s">
        <v>1995</v>
      </c>
      <c r="FK14" s="333"/>
      <c r="FL14" s="333"/>
      <c r="FM14" s="333"/>
      <c r="FN14" s="333"/>
      <c r="FO14" s="337"/>
      <c r="FQ14" s="338" t="s">
        <v>1982</v>
      </c>
      <c r="FR14" s="338">
        <v>1</v>
      </c>
      <c r="FY14" s="339"/>
      <c r="FZ14" s="339"/>
      <c r="GA14" s="339"/>
      <c r="GB14" s="339"/>
      <c r="GC14" s="339"/>
      <c r="GD14" s="339"/>
      <c r="GE14" s="339"/>
      <c r="GF14" s="340" t="s">
        <v>1994</v>
      </c>
      <c r="GG14" s="340"/>
      <c r="GH14" s="340"/>
      <c r="GI14" s="340"/>
      <c r="GJ14" s="340"/>
      <c r="GK14" s="331" t="s">
        <v>1981</v>
      </c>
      <c r="GL14" s="331"/>
      <c r="GM14" s="331"/>
      <c r="GN14" s="333" t="s">
        <v>1995</v>
      </c>
      <c r="GO14" s="333"/>
      <c r="GP14" s="333"/>
      <c r="GQ14" s="333"/>
      <c r="GR14" s="333"/>
      <c r="GS14" s="337"/>
      <c r="GU14" s="338" t="s">
        <v>1982</v>
      </c>
      <c r="GV14" s="338">
        <v>1</v>
      </c>
      <c r="HC14" s="335"/>
      <c r="HD14" s="335"/>
      <c r="HE14" s="335"/>
      <c r="HF14" s="335"/>
      <c r="HG14" s="335"/>
      <c r="HH14" s="335"/>
      <c r="HI14" s="335"/>
      <c r="HJ14" s="343">
        <f>MAL!HV2</f>
        <v>0</v>
      </c>
      <c r="HK14" s="343"/>
      <c r="HL14" s="343"/>
      <c r="HM14" s="343"/>
      <c r="HN14" s="343"/>
      <c r="HO14" s="326" t="s">
        <v>1981</v>
      </c>
      <c r="HP14" s="326"/>
      <c r="HQ14" s="326"/>
      <c r="HR14" s="346">
        <f>MAL!HW2</f>
        <v>0</v>
      </c>
      <c r="HS14" s="346"/>
      <c r="HT14" s="346"/>
      <c r="HU14" s="346"/>
      <c r="HV14" s="346"/>
      <c r="HW14" s="337"/>
      <c r="HY14" s="338" t="s">
        <v>1982</v>
      </c>
      <c r="HZ14" s="338">
        <v>1</v>
      </c>
      <c r="IG14" s="339"/>
      <c r="IH14" s="339"/>
      <c r="II14" s="339"/>
      <c r="IJ14" s="339"/>
      <c r="IK14" s="339"/>
      <c r="IL14" s="339"/>
      <c r="IM14" s="339"/>
      <c r="IN14" s="340" t="e">
        <f>#VALUE!</f>
        <v>#VALUE!</v>
      </c>
      <c r="IO14" s="340"/>
      <c r="IP14" s="340"/>
      <c r="IQ14" s="340"/>
      <c r="IR14" s="340"/>
      <c r="IS14" s="331" t="s">
        <v>1981</v>
      </c>
      <c r="IT14" s="331"/>
      <c r="IU14" s="331"/>
      <c r="IV14" s="333" t="e">
        <f>#VALUE!</f>
        <v>#VALUE!</v>
      </c>
      <c r="IW14" s="333"/>
      <c r="IX14" s="333"/>
      <c r="IY14" s="333"/>
      <c r="IZ14" s="333"/>
      <c r="JA14" s="337"/>
      <c r="JC14" s="338" t="s">
        <v>1982</v>
      </c>
      <c r="JD14" s="338">
        <v>1</v>
      </c>
      <c r="JK14" s="339"/>
      <c r="JL14" s="339"/>
      <c r="JM14" s="339"/>
      <c r="JN14" s="339"/>
      <c r="JO14" s="339"/>
      <c r="JP14" s="339"/>
      <c r="JQ14" s="339"/>
      <c r="JR14" s="340">
        <f>MAL!HV2</f>
        <v>0</v>
      </c>
      <c r="JS14" s="340"/>
      <c r="JT14" s="340"/>
      <c r="JU14" s="340"/>
      <c r="JV14" s="340"/>
      <c r="JW14" s="331" t="s">
        <v>1981</v>
      </c>
      <c r="JX14" s="331"/>
      <c r="JY14" s="331"/>
      <c r="JZ14" s="333">
        <f>MAL!HW2</f>
        <v>0</v>
      </c>
      <c r="KA14" s="333"/>
      <c r="KB14" s="333"/>
      <c r="KC14" s="333"/>
      <c r="KD14" s="333"/>
      <c r="KE14" s="337"/>
      <c r="KG14" s="338" t="s">
        <v>1982</v>
      </c>
      <c r="KH14" s="338">
        <v>1</v>
      </c>
      <c r="KO14" s="339"/>
      <c r="KP14" s="339"/>
      <c r="KQ14" s="339"/>
      <c r="KR14" s="339"/>
      <c r="KS14" s="339"/>
      <c r="KT14" s="339"/>
      <c r="KU14" s="339"/>
      <c r="KV14" s="340">
        <f>MAL!HV3</f>
        <v>0</v>
      </c>
      <c r="KW14" s="340"/>
      <c r="KX14" s="340"/>
      <c r="KY14" s="340"/>
      <c r="KZ14" s="340"/>
      <c r="LA14" s="331" t="s">
        <v>1981</v>
      </c>
      <c r="LB14" s="331"/>
      <c r="LC14" s="331"/>
      <c r="LD14" s="333">
        <f>MAL!HW3</f>
        <v>0</v>
      </c>
      <c r="LE14" s="333"/>
      <c r="LF14" s="333"/>
      <c r="LG14" s="333"/>
      <c r="LH14" s="333"/>
      <c r="LI14" s="337"/>
      <c r="LK14" s="338" t="s">
        <v>1982</v>
      </c>
      <c r="LL14" s="338">
        <v>1</v>
      </c>
      <c r="LS14" s="339"/>
      <c r="LT14" s="339"/>
      <c r="LU14" s="339"/>
      <c r="LV14" s="339"/>
      <c r="LW14" s="339"/>
      <c r="LX14" s="339"/>
      <c r="LY14" s="339"/>
      <c r="LZ14" s="340" t="e">
        <f>#VALUE!</f>
        <v>#VALUE!</v>
      </c>
      <c r="MA14" s="340"/>
      <c r="MB14" s="340"/>
      <c r="MC14" s="340"/>
      <c r="MD14" s="340"/>
      <c r="ME14" s="331" t="s">
        <v>1981</v>
      </c>
      <c r="MF14" s="331"/>
      <c r="MG14" s="331"/>
      <c r="MH14" s="333" t="e">
        <f>#VALUE!</f>
        <v>#VALUE!</v>
      </c>
      <c r="MI14" s="333"/>
      <c r="MJ14" s="333"/>
      <c r="MK14" s="333"/>
      <c r="ML14" s="333"/>
      <c r="MM14" s="337"/>
      <c r="MO14" s="338" t="s">
        <v>1982</v>
      </c>
      <c r="MP14" s="338">
        <v>1</v>
      </c>
      <c r="MW14" s="339"/>
      <c r="MX14" s="339"/>
      <c r="MY14" s="339"/>
      <c r="MZ14" s="339"/>
      <c r="NA14" s="339"/>
      <c r="NB14" s="339"/>
      <c r="NC14" s="339"/>
      <c r="ND14" s="340" t="s">
        <v>1994</v>
      </c>
      <c r="NE14" s="340"/>
      <c r="NF14" s="340"/>
      <c r="NG14" s="340"/>
      <c r="NH14" s="340"/>
      <c r="NI14" s="331" t="s">
        <v>1981</v>
      </c>
      <c r="NJ14" s="331"/>
      <c r="NK14" s="331"/>
      <c r="NL14" s="333" t="s">
        <v>1995</v>
      </c>
      <c r="NM14" s="333"/>
      <c r="NN14" s="333"/>
      <c r="NO14" s="333"/>
      <c r="NP14" s="333"/>
      <c r="NQ14" s="337"/>
      <c r="NS14" s="338" t="s">
        <v>1982</v>
      </c>
      <c r="NT14" s="338">
        <v>1</v>
      </c>
      <c r="OA14" s="339"/>
      <c r="OB14" s="339"/>
      <c r="OC14" s="339"/>
      <c r="OD14" s="339"/>
      <c r="OE14" s="339"/>
      <c r="OF14" s="339"/>
      <c r="OG14" s="339"/>
      <c r="OH14" s="340" t="s">
        <v>1994</v>
      </c>
      <c r="OI14" s="340"/>
      <c r="OJ14" s="340"/>
      <c r="OK14" s="340"/>
      <c r="OL14" s="340"/>
      <c r="OM14" s="331" t="s">
        <v>1981</v>
      </c>
      <c r="ON14" s="331"/>
      <c r="OO14" s="331"/>
      <c r="OP14" s="333" t="s">
        <v>1995</v>
      </c>
      <c r="OQ14" s="333"/>
      <c r="OR14" s="333"/>
      <c r="OS14" s="333"/>
      <c r="OT14" s="333"/>
      <c r="OU14" s="337"/>
      <c r="OW14" s="338" t="s">
        <v>1982</v>
      </c>
      <c r="OX14" s="338">
        <v>1</v>
      </c>
      <c r="PE14" s="335"/>
      <c r="PF14" s="335"/>
      <c r="PG14" s="335"/>
      <c r="PH14" s="335"/>
      <c r="PI14" s="335"/>
      <c r="PJ14" s="335"/>
      <c r="PK14" s="335"/>
      <c r="PL14" s="343">
        <f>MAL!PX2</f>
        <v>0</v>
      </c>
      <c r="PM14" s="343"/>
      <c r="PN14" s="343"/>
      <c r="PO14" s="343"/>
      <c r="PP14" s="343"/>
      <c r="PQ14" s="326" t="s">
        <v>1981</v>
      </c>
      <c r="PR14" s="326"/>
      <c r="PS14" s="326"/>
      <c r="PT14" s="346">
        <f>MAL!PY2</f>
        <v>0</v>
      </c>
      <c r="PU14" s="346"/>
      <c r="PV14" s="346"/>
      <c r="PW14" s="346"/>
      <c r="PX14" s="346"/>
      <c r="PY14" s="337"/>
      <c r="QA14" s="338" t="s">
        <v>1982</v>
      </c>
      <c r="QB14" s="338">
        <v>1</v>
      </c>
      <c r="QI14" s="339"/>
      <c r="QJ14" s="339"/>
      <c r="QK14" s="339"/>
      <c r="QL14" s="339"/>
      <c r="QM14" s="339"/>
      <c r="QN14" s="339"/>
      <c r="QO14" s="339"/>
      <c r="QP14" s="340" t="e">
        <f>#VALUE!</f>
        <v>#VALUE!</v>
      </c>
      <c r="QQ14" s="340"/>
      <c r="QR14" s="340"/>
      <c r="QS14" s="340"/>
      <c r="QT14" s="340"/>
      <c r="QU14" s="331" t="s">
        <v>1981</v>
      </c>
      <c r="QV14" s="331"/>
      <c r="QW14" s="331"/>
      <c r="QX14" s="333" t="e">
        <f>#VALUE!</f>
        <v>#VALUE!</v>
      </c>
      <c r="QY14" s="333"/>
      <c r="QZ14" s="333"/>
      <c r="RA14" s="333"/>
      <c r="RB14" s="333"/>
      <c r="RC14" s="337"/>
      <c r="RE14" s="338" t="s">
        <v>1982</v>
      </c>
      <c r="RF14" s="338">
        <v>1</v>
      </c>
      <c r="RM14" s="339"/>
      <c r="RN14" s="339"/>
      <c r="RO14" s="339"/>
      <c r="RP14" s="339"/>
      <c r="RQ14" s="339"/>
      <c r="RR14" s="339"/>
      <c r="RS14" s="339"/>
      <c r="RT14" s="340">
        <f>MAL!PX2</f>
        <v>0</v>
      </c>
      <c r="RU14" s="340"/>
      <c r="RV14" s="340"/>
      <c r="RW14" s="340"/>
      <c r="RX14" s="340"/>
      <c r="RY14" s="331" t="s">
        <v>1981</v>
      </c>
      <c r="RZ14" s="331"/>
      <c r="SA14" s="331"/>
      <c r="SB14" s="333">
        <f>MAL!PY2</f>
        <v>0</v>
      </c>
      <c r="SC14" s="333"/>
      <c r="SD14" s="333"/>
      <c r="SE14" s="333"/>
      <c r="SF14" s="333"/>
      <c r="SG14" s="337"/>
      <c r="SI14" s="338" t="s">
        <v>1982</v>
      </c>
      <c r="SJ14" s="338">
        <v>1</v>
      </c>
      <c r="SQ14" s="339"/>
      <c r="SR14" s="339"/>
      <c r="SS14" s="339"/>
      <c r="ST14" s="339"/>
      <c r="SU14" s="339"/>
      <c r="SV14" s="339"/>
      <c r="SW14" s="339"/>
      <c r="SX14" s="340">
        <f>MAL!PX3</f>
        <v>0</v>
      </c>
      <c r="SY14" s="340"/>
      <c r="SZ14" s="340"/>
      <c r="TA14" s="340"/>
      <c r="TB14" s="340"/>
      <c r="TC14" s="331" t="s">
        <v>1981</v>
      </c>
      <c r="TD14" s="331"/>
      <c r="TE14" s="331"/>
      <c r="TF14" s="333">
        <f>MAL!PY3</f>
        <v>0</v>
      </c>
      <c r="TG14" s="333"/>
      <c r="TH14" s="333"/>
      <c r="TI14" s="333"/>
      <c r="TJ14" s="333"/>
      <c r="TK14" s="337"/>
      <c r="TM14" s="338" t="s">
        <v>1982</v>
      </c>
      <c r="TN14" s="338">
        <v>1</v>
      </c>
      <c r="TU14" s="339"/>
      <c r="TV14" s="339"/>
      <c r="TW14" s="339"/>
      <c r="TX14" s="339"/>
      <c r="TY14" s="339"/>
      <c r="TZ14" s="339"/>
      <c r="UA14" s="339"/>
      <c r="UB14" s="340" t="e">
        <f>#VALUE!</f>
        <v>#VALUE!</v>
      </c>
      <c r="UC14" s="340"/>
      <c r="UD14" s="340"/>
      <c r="UE14" s="340"/>
      <c r="UF14" s="340"/>
      <c r="UG14" s="331" t="s">
        <v>1981</v>
      </c>
      <c r="UH14" s="331"/>
      <c r="UI14" s="331"/>
      <c r="UJ14" s="333" t="e">
        <f>#VALUE!</f>
        <v>#VALUE!</v>
      </c>
      <c r="UK14" s="333"/>
      <c r="UL14" s="333"/>
      <c r="UM14" s="333"/>
      <c r="UN14" s="333"/>
      <c r="UO14" s="337"/>
      <c r="UQ14" s="338" t="s">
        <v>1982</v>
      </c>
      <c r="UR14" s="338">
        <v>1</v>
      </c>
      <c r="UY14" s="339"/>
      <c r="UZ14" s="339"/>
      <c r="VA14" s="339"/>
      <c r="VB14" s="339"/>
      <c r="VC14" s="339"/>
      <c r="VD14" s="339"/>
      <c r="VE14" s="339"/>
      <c r="VF14" s="340" t="s">
        <v>1994</v>
      </c>
      <c r="VG14" s="340"/>
      <c r="VH14" s="340"/>
      <c r="VI14" s="340"/>
      <c r="VJ14" s="340"/>
      <c r="VK14" s="331" t="s">
        <v>1981</v>
      </c>
      <c r="VL14" s="331"/>
      <c r="VM14" s="331"/>
      <c r="VN14" s="333" t="s">
        <v>1995</v>
      </c>
      <c r="VO14" s="333"/>
      <c r="VP14" s="333"/>
      <c r="VQ14" s="333"/>
      <c r="VR14" s="333"/>
      <c r="VS14" s="337"/>
      <c r="VU14" s="338" t="s">
        <v>1982</v>
      </c>
      <c r="VV14" s="338">
        <v>1</v>
      </c>
      <c r="WC14" s="339"/>
      <c r="WD14" s="339"/>
      <c r="WE14" s="339"/>
      <c r="WF14" s="339"/>
      <c r="WG14" s="339"/>
      <c r="WH14" s="339"/>
      <c r="WI14" s="339"/>
      <c r="WJ14" s="340" t="s">
        <v>1994</v>
      </c>
      <c r="WK14" s="340"/>
      <c r="WL14" s="340"/>
      <c r="WM14" s="340"/>
      <c r="WN14" s="340"/>
      <c r="WO14" s="331" t="s">
        <v>1981</v>
      </c>
      <c r="WP14" s="331"/>
      <c r="WQ14" s="331"/>
      <c r="WR14" s="333" t="s">
        <v>1995</v>
      </c>
      <c r="WS14" s="333"/>
      <c r="WT14" s="333"/>
      <c r="WU14" s="333"/>
      <c r="WV14" s="333"/>
      <c r="WW14" s="337"/>
      <c r="WY14" s="338" t="s">
        <v>1982</v>
      </c>
      <c r="WZ14" s="338">
        <v>1</v>
      </c>
      <c r="XG14" s="335"/>
      <c r="XH14" s="335"/>
      <c r="XI14" s="335"/>
      <c r="XJ14" s="335"/>
      <c r="XK14" s="335"/>
      <c r="XL14" s="335"/>
      <c r="XM14" s="335"/>
      <c r="XN14" s="343">
        <f>MAL!XZ2</f>
        <v>0</v>
      </c>
      <c r="XO14" s="343"/>
      <c r="XP14" s="343"/>
      <c r="XQ14" s="343"/>
      <c r="XR14" s="343"/>
      <c r="XS14" s="326" t="s">
        <v>1981</v>
      </c>
      <c r="XT14" s="326"/>
      <c r="XU14" s="326"/>
      <c r="XV14" s="346">
        <f>MAL!YA2</f>
        <v>0</v>
      </c>
      <c r="XW14" s="346"/>
      <c r="XX14" s="346"/>
      <c r="XY14" s="346"/>
      <c r="XZ14" s="346"/>
      <c r="YA14" s="337"/>
      <c r="YC14" s="338" t="s">
        <v>1982</v>
      </c>
      <c r="YD14" s="338">
        <v>1</v>
      </c>
      <c r="YK14" s="339"/>
      <c r="YL14" s="339"/>
      <c r="YM14" s="339"/>
      <c r="YN14" s="339"/>
      <c r="YO14" s="339"/>
      <c r="YP14" s="339"/>
      <c r="YQ14" s="339"/>
      <c r="YR14" s="340" t="e">
        <f>#VALUE!</f>
        <v>#VALUE!</v>
      </c>
      <c r="YS14" s="340"/>
      <c r="YT14" s="340"/>
      <c r="YU14" s="340"/>
      <c r="YV14" s="340"/>
      <c r="YW14" s="331" t="s">
        <v>1981</v>
      </c>
      <c r="YX14" s="331"/>
      <c r="YY14" s="331"/>
      <c r="YZ14" s="333" t="e">
        <f>#VALUE!</f>
        <v>#VALUE!</v>
      </c>
      <c r="ZA14" s="333"/>
      <c r="ZB14" s="333"/>
      <c r="ZC14" s="333"/>
      <c r="ZD14" s="333"/>
      <c r="ZE14" s="337"/>
      <c r="ZG14" s="338" t="s">
        <v>1982</v>
      </c>
      <c r="ZH14" s="338">
        <v>1</v>
      </c>
      <c r="ZO14" s="339"/>
      <c r="ZP14" s="339"/>
      <c r="ZQ14" s="339"/>
      <c r="ZR14" s="339"/>
      <c r="ZS14" s="339"/>
      <c r="ZT14" s="339"/>
      <c r="ZU14" s="339"/>
      <c r="ZV14" s="340">
        <f>MAL!XZ2</f>
        <v>0</v>
      </c>
      <c r="ZW14" s="340"/>
      <c r="ZX14" s="340"/>
      <c r="ZY14" s="340"/>
      <c r="ZZ14" s="340"/>
      <c r="AAA14" s="331" t="s">
        <v>1981</v>
      </c>
      <c r="AAB14" s="331"/>
      <c r="AAC14" s="331"/>
      <c r="AAD14" s="333">
        <f>MAL!YA2</f>
        <v>0</v>
      </c>
      <c r="AAE14" s="333"/>
      <c r="AAF14" s="333"/>
      <c r="AAG14" s="333"/>
      <c r="AAH14" s="333"/>
      <c r="AAI14" s="337"/>
      <c r="AAK14" s="338" t="s">
        <v>1982</v>
      </c>
      <c r="AAL14" s="338">
        <v>1</v>
      </c>
      <c r="AAS14" s="339"/>
      <c r="AAT14" s="339"/>
      <c r="AAU14" s="339"/>
      <c r="AAV14" s="339"/>
      <c r="AAW14" s="339"/>
      <c r="AAX14" s="339"/>
      <c r="AAY14" s="339"/>
      <c r="AAZ14" s="340">
        <f>MAL!XZ3</f>
        <v>0</v>
      </c>
      <c r="ABA14" s="340"/>
      <c r="ABB14" s="340"/>
      <c r="ABC14" s="340"/>
      <c r="ABD14" s="340"/>
      <c r="ABE14" s="331" t="s">
        <v>1981</v>
      </c>
      <c r="ABF14" s="331"/>
      <c r="ABG14" s="331"/>
      <c r="ABH14" s="333">
        <f>MAL!YA3</f>
        <v>0</v>
      </c>
      <c r="ABI14" s="333"/>
      <c r="ABJ14" s="333"/>
      <c r="ABK14" s="333"/>
      <c r="ABL14" s="333"/>
      <c r="ABM14" s="337"/>
      <c r="ABO14" s="338" t="s">
        <v>1982</v>
      </c>
      <c r="ABP14" s="338">
        <v>1</v>
      </c>
      <c r="ABW14" s="339"/>
      <c r="ABX14" s="339"/>
      <c r="ABY14" s="339"/>
      <c r="ABZ14" s="339"/>
      <c r="ACA14" s="339"/>
      <c r="ACB14" s="339"/>
      <c r="ACC14" s="339"/>
      <c r="ACD14" s="340" t="e">
        <f>#VALUE!</f>
        <v>#VALUE!</v>
      </c>
      <c r="ACE14" s="340"/>
      <c r="ACF14" s="340"/>
      <c r="ACG14" s="340"/>
      <c r="ACH14" s="340"/>
      <c r="ACI14" s="331" t="s">
        <v>1981</v>
      </c>
      <c r="ACJ14" s="331"/>
      <c r="ACK14" s="331"/>
      <c r="ACL14" s="333" t="e">
        <f>#VALUE!</f>
        <v>#VALUE!</v>
      </c>
      <c r="ACM14" s="333"/>
      <c r="ACN14" s="333"/>
      <c r="ACO14" s="333"/>
      <c r="ACP14" s="333"/>
      <c r="ACQ14" s="337"/>
      <c r="ACS14" s="338" t="s">
        <v>1982</v>
      </c>
      <c r="ACT14" s="338">
        <v>1</v>
      </c>
      <c r="ADA14" s="339"/>
      <c r="ADB14" s="339"/>
      <c r="ADC14" s="339"/>
      <c r="ADD14" s="339"/>
      <c r="ADE14" s="339"/>
      <c r="ADF14" s="339"/>
      <c r="ADG14" s="339"/>
      <c r="ADH14" s="340" t="s">
        <v>1994</v>
      </c>
      <c r="ADI14" s="340"/>
      <c r="ADJ14" s="340"/>
      <c r="ADK14" s="340"/>
      <c r="ADL14" s="340"/>
      <c r="ADM14" s="331" t="s">
        <v>1981</v>
      </c>
      <c r="ADN14" s="331"/>
      <c r="ADO14" s="331"/>
      <c r="ADP14" s="333" t="s">
        <v>1995</v>
      </c>
      <c r="ADQ14" s="333"/>
      <c r="ADR14" s="333"/>
      <c r="ADS14" s="333"/>
      <c r="ADT14" s="333"/>
      <c r="ADU14" s="337"/>
      <c r="ADW14" s="338" t="s">
        <v>1982</v>
      </c>
      <c r="ADX14" s="338">
        <v>1</v>
      </c>
      <c r="AEE14" s="339"/>
      <c r="AEF14" s="339"/>
      <c r="AEG14" s="339"/>
      <c r="AEH14" s="339"/>
      <c r="AEI14" s="339"/>
      <c r="AEJ14" s="339"/>
      <c r="AEK14" s="339"/>
      <c r="AEL14" s="340" t="s">
        <v>1994</v>
      </c>
      <c r="AEM14" s="340"/>
      <c r="AEN14" s="340"/>
      <c r="AEO14" s="340"/>
      <c r="AEP14" s="340"/>
      <c r="AEQ14" s="331" t="s">
        <v>1981</v>
      </c>
      <c r="AER14" s="331"/>
      <c r="AES14" s="331"/>
      <c r="AET14" s="333" t="s">
        <v>1995</v>
      </c>
      <c r="AEU14" s="333"/>
      <c r="AEV14" s="333"/>
      <c r="AEW14" s="333"/>
      <c r="AEX14" s="333"/>
      <c r="AEY14" s="337"/>
      <c r="AFA14" s="338" t="s">
        <v>1982</v>
      </c>
      <c r="AFB14" s="338">
        <v>1</v>
      </c>
      <c r="AFI14" s="335"/>
      <c r="AFJ14" s="335"/>
      <c r="AFK14" s="335"/>
      <c r="AFL14" s="335"/>
      <c r="AFM14" s="335"/>
      <c r="AFN14" s="335"/>
      <c r="AFO14" s="335"/>
      <c r="AFP14" s="343">
        <f>MAL!AGB2</f>
        <v>0</v>
      </c>
      <c r="AFQ14" s="343"/>
      <c r="AFR14" s="343"/>
      <c r="AFS14" s="343"/>
      <c r="AFT14" s="343"/>
      <c r="AFU14" s="326" t="s">
        <v>1981</v>
      </c>
      <c r="AFV14" s="326"/>
      <c r="AFW14" s="326"/>
      <c r="AFX14" s="346">
        <f>MAL!AGC2</f>
        <v>0</v>
      </c>
      <c r="AFY14" s="346"/>
      <c r="AFZ14" s="346"/>
      <c r="AGA14" s="346"/>
      <c r="AGB14" s="346"/>
      <c r="AGC14" s="337"/>
      <c r="AGE14" s="338" t="s">
        <v>1982</v>
      </c>
      <c r="AGF14" s="338">
        <v>1</v>
      </c>
      <c r="AGM14" s="339"/>
      <c r="AGN14" s="339"/>
      <c r="AGO14" s="339"/>
      <c r="AGP14" s="339"/>
      <c r="AGQ14" s="339"/>
      <c r="AGR14" s="339"/>
      <c r="AGS14" s="339"/>
      <c r="AGT14" s="340" t="e">
        <f>#VALUE!</f>
        <v>#VALUE!</v>
      </c>
      <c r="AGU14" s="340"/>
      <c r="AGV14" s="340"/>
      <c r="AGW14" s="340"/>
      <c r="AGX14" s="340"/>
      <c r="AGY14" s="331" t="s">
        <v>1981</v>
      </c>
      <c r="AGZ14" s="331"/>
      <c r="AHA14" s="331"/>
      <c r="AHB14" s="333" t="e">
        <f>#VALUE!</f>
        <v>#VALUE!</v>
      </c>
      <c r="AHC14" s="333"/>
      <c r="AHD14" s="333"/>
      <c r="AHE14" s="333"/>
      <c r="AHF14" s="333"/>
      <c r="AHG14" s="337"/>
      <c r="AHI14" s="338" t="s">
        <v>1982</v>
      </c>
      <c r="AHJ14" s="338">
        <v>1</v>
      </c>
      <c r="AHQ14" s="339"/>
      <c r="AHR14" s="339"/>
      <c r="AHS14" s="339"/>
      <c r="AHT14" s="339"/>
      <c r="AHU14" s="339"/>
      <c r="AHV14" s="339"/>
      <c r="AHW14" s="339"/>
      <c r="AHX14" s="340">
        <f>MAL!AGB2</f>
        <v>0</v>
      </c>
      <c r="AHY14" s="340"/>
      <c r="AHZ14" s="340"/>
      <c r="AIA14" s="340"/>
      <c r="AIB14" s="340"/>
      <c r="AIC14" s="331" t="s">
        <v>1981</v>
      </c>
      <c r="AID14" s="331"/>
      <c r="AIE14" s="331"/>
      <c r="AIF14" s="333">
        <f>MAL!AGC2</f>
        <v>0</v>
      </c>
      <c r="AIG14" s="333"/>
      <c r="AIH14" s="333"/>
      <c r="AII14" s="333"/>
      <c r="AIJ14" s="333"/>
      <c r="AIK14" s="337"/>
      <c r="AIM14" s="338" t="s">
        <v>1982</v>
      </c>
      <c r="AIN14" s="338">
        <v>1</v>
      </c>
      <c r="AIU14" s="339"/>
      <c r="AIV14" s="339"/>
      <c r="AIW14" s="339"/>
      <c r="AIX14" s="339"/>
      <c r="AIY14" s="339"/>
      <c r="AIZ14" s="339"/>
      <c r="AJA14" s="339"/>
      <c r="AJB14" s="340">
        <f>MAL!AGB3</f>
        <v>0</v>
      </c>
      <c r="AJC14" s="340"/>
      <c r="AJD14" s="340"/>
      <c r="AJE14" s="340"/>
      <c r="AJF14" s="340"/>
      <c r="AJG14" s="331" t="s">
        <v>1981</v>
      </c>
      <c r="AJH14" s="331"/>
      <c r="AJI14" s="331"/>
      <c r="AJJ14" s="333">
        <f>MAL!AGC3</f>
        <v>0</v>
      </c>
      <c r="AJK14" s="333"/>
      <c r="AJL14" s="333"/>
      <c r="AJM14" s="333"/>
      <c r="AJN14" s="333"/>
      <c r="AJO14" s="337"/>
      <c r="AJQ14" s="338" t="s">
        <v>1982</v>
      </c>
      <c r="AJR14" s="338">
        <v>1</v>
      </c>
      <c r="AJY14" s="339"/>
      <c r="AJZ14" s="339"/>
      <c r="AKA14" s="339"/>
      <c r="AKB14" s="339"/>
      <c r="AKC14" s="339"/>
      <c r="AKD14" s="339"/>
      <c r="AKE14" s="339"/>
      <c r="AKF14" s="340" t="e">
        <f>#VALUE!</f>
        <v>#VALUE!</v>
      </c>
      <c r="AKG14" s="340"/>
      <c r="AKH14" s="340"/>
      <c r="AKI14" s="340"/>
      <c r="AKJ14" s="340"/>
      <c r="AKK14" s="331" t="s">
        <v>1981</v>
      </c>
      <c r="AKL14" s="331"/>
      <c r="AKM14" s="331"/>
      <c r="AKN14" s="333" t="e">
        <f>#VALUE!</f>
        <v>#VALUE!</v>
      </c>
      <c r="AKO14" s="333"/>
      <c r="AKP14" s="333"/>
      <c r="AKQ14" s="333"/>
      <c r="AKR14" s="333"/>
      <c r="AKS14" s="337"/>
      <c r="AKU14" s="338" t="s">
        <v>1982</v>
      </c>
      <c r="AKV14" s="338">
        <v>1</v>
      </c>
      <c r="ALC14" s="339"/>
      <c r="ALD14" s="339"/>
      <c r="ALE14" s="339"/>
      <c r="ALF14" s="339"/>
      <c r="ALG14" s="339"/>
      <c r="ALH14" s="339"/>
      <c r="ALI14" s="339"/>
      <c r="ALJ14" s="340" t="s">
        <v>1994</v>
      </c>
      <c r="ALK14" s="340"/>
      <c r="ALL14" s="340"/>
      <c r="ALM14" s="340"/>
      <c r="ALN14" s="340"/>
      <c r="ALO14" s="331" t="s">
        <v>1981</v>
      </c>
      <c r="ALP14" s="331"/>
      <c r="ALQ14" s="331"/>
      <c r="ALR14" s="333" t="s">
        <v>1995</v>
      </c>
      <c r="ALS14" s="333"/>
      <c r="ALT14" s="333"/>
      <c r="ALU14" s="333"/>
      <c r="ALV14" s="333"/>
      <c r="ALW14" s="337"/>
      <c r="ALY14" s="338" t="s">
        <v>1982</v>
      </c>
      <c r="ALZ14" s="338">
        <v>1</v>
      </c>
      <c r="AMG14" s="335"/>
      <c r="AMH14" s="335"/>
      <c r="AMI14" s="335"/>
      <c r="AMJ14" s="335"/>
    </row>
    <row r="15" spans="1:1024" x14ac:dyDescent="0.2">
      <c r="H15" s="347"/>
      <c r="I15" s="347"/>
      <c r="J15" s="347"/>
      <c r="K15" s="347"/>
      <c r="L15" s="347"/>
      <c r="M15" s="348" t="s">
        <v>1996</v>
      </c>
      <c r="N15" s="348"/>
      <c r="O15" s="348"/>
      <c r="P15" s="349"/>
      <c r="Q15" s="349"/>
      <c r="R15" s="349"/>
      <c r="S15" s="349"/>
      <c r="T15" s="349"/>
      <c r="U15" s="337"/>
      <c r="V15" s="338"/>
      <c r="W15" s="338" t="s">
        <v>1997</v>
      </c>
      <c r="X15" s="338">
        <v>3</v>
      </c>
      <c r="Y15" s="338"/>
      <c r="Z15" s="338"/>
      <c r="AA15" s="338"/>
      <c r="AB15" s="338"/>
      <c r="AC15" s="338"/>
      <c r="AD15" s="338"/>
      <c r="AL15" s="347"/>
      <c r="AM15" s="347"/>
      <c r="AN15" s="347"/>
      <c r="AO15" s="347"/>
      <c r="AP15" s="347"/>
      <c r="AQ15" s="348" t="s">
        <v>1996</v>
      </c>
      <c r="AR15" s="348"/>
      <c r="AS15" s="348"/>
      <c r="AT15" s="349"/>
      <c r="AU15" s="349"/>
      <c r="AV15" s="349"/>
      <c r="AW15" s="349"/>
      <c r="AX15" s="349"/>
      <c r="AY15" s="337"/>
      <c r="AZ15" s="338"/>
      <c r="BA15" s="338" t="s">
        <v>1997</v>
      </c>
      <c r="BB15" s="338">
        <v>3</v>
      </c>
      <c r="BC15" s="338"/>
      <c r="BD15" s="338"/>
      <c r="BE15" s="338"/>
      <c r="BF15" s="338"/>
      <c r="BG15" s="338"/>
      <c r="BH15" s="338"/>
      <c r="BP15" s="347"/>
      <c r="BQ15" s="347"/>
      <c r="BR15" s="347"/>
      <c r="BS15" s="347"/>
      <c r="BT15" s="347"/>
      <c r="BU15" s="348" t="s">
        <v>1996</v>
      </c>
      <c r="BV15" s="348"/>
      <c r="BW15" s="348"/>
      <c r="BX15" s="332"/>
      <c r="BY15" s="332"/>
      <c r="BZ15" s="332"/>
      <c r="CA15" s="332"/>
      <c r="CB15" s="332"/>
      <c r="CC15" s="337"/>
      <c r="CD15" s="338"/>
      <c r="CE15" s="338" t="s">
        <v>1997</v>
      </c>
      <c r="CF15" s="338">
        <v>3</v>
      </c>
      <c r="CG15" s="338"/>
      <c r="CH15" s="338"/>
      <c r="CI15" s="338"/>
      <c r="CJ15" s="338"/>
      <c r="CK15" s="338"/>
      <c r="CL15" s="338"/>
      <c r="CT15" s="347"/>
      <c r="CU15" s="347"/>
      <c r="CV15" s="347"/>
      <c r="CW15" s="347"/>
      <c r="CX15" s="347"/>
      <c r="CY15" s="348" t="s">
        <v>1996</v>
      </c>
      <c r="CZ15" s="348"/>
      <c r="DA15" s="348"/>
      <c r="DB15" s="332"/>
      <c r="DC15" s="332"/>
      <c r="DD15" s="332"/>
      <c r="DE15" s="332"/>
      <c r="DF15" s="332"/>
      <c r="DG15" s="337"/>
      <c r="DH15" s="338"/>
      <c r="DI15" s="338" t="s">
        <v>1997</v>
      </c>
      <c r="DJ15" s="338">
        <v>3</v>
      </c>
      <c r="DK15" s="338"/>
      <c r="DL15" s="338"/>
      <c r="DM15" s="338"/>
      <c r="DN15" s="338"/>
      <c r="DO15" s="338"/>
      <c r="DP15" s="338"/>
      <c r="DX15" s="347"/>
      <c r="DY15" s="347"/>
      <c r="DZ15" s="347"/>
      <c r="EA15" s="347"/>
      <c r="EB15" s="347"/>
      <c r="EC15" s="348" t="s">
        <v>1996</v>
      </c>
      <c r="ED15" s="348"/>
      <c r="EE15" s="348"/>
      <c r="EF15" s="332"/>
      <c r="EG15" s="332"/>
      <c r="EH15" s="332"/>
      <c r="EI15" s="332"/>
      <c r="EJ15" s="332"/>
      <c r="EK15" s="337"/>
      <c r="EL15" s="338"/>
      <c r="EM15" s="338" t="s">
        <v>1997</v>
      </c>
      <c r="EN15" s="338">
        <v>3</v>
      </c>
      <c r="EO15" s="338"/>
      <c r="EP15" s="338"/>
      <c r="EQ15" s="338"/>
      <c r="ER15" s="338"/>
      <c r="ES15" s="338"/>
      <c r="ET15" s="338"/>
      <c r="FB15" s="347"/>
      <c r="FC15" s="347"/>
      <c r="FD15" s="347"/>
      <c r="FE15" s="347"/>
      <c r="FF15" s="347"/>
      <c r="FG15" s="348" t="s">
        <v>1996</v>
      </c>
      <c r="FH15" s="348"/>
      <c r="FI15" s="348"/>
      <c r="FJ15" s="332"/>
      <c r="FK15" s="332"/>
      <c r="FL15" s="332"/>
      <c r="FM15" s="332"/>
      <c r="FN15" s="332"/>
      <c r="FO15" s="337"/>
      <c r="FP15" s="338"/>
      <c r="FQ15" s="338" t="s">
        <v>1997</v>
      </c>
      <c r="FR15" s="338">
        <v>3</v>
      </c>
      <c r="FS15" s="338"/>
      <c r="FT15" s="338"/>
      <c r="FU15" s="338"/>
      <c r="FV15" s="338"/>
      <c r="FW15" s="338"/>
      <c r="FX15" s="338"/>
      <c r="GF15" s="347"/>
      <c r="GG15" s="347"/>
      <c r="GH15" s="347"/>
      <c r="GI15" s="347"/>
      <c r="GJ15" s="347"/>
      <c r="GK15" s="348" t="s">
        <v>1996</v>
      </c>
      <c r="GL15" s="348"/>
      <c r="GM15" s="348"/>
      <c r="GN15" s="332"/>
      <c r="GO15" s="332"/>
      <c r="GP15" s="332"/>
      <c r="GQ15" s="332"/>
      <c r="GR15" s="332"/>
      <c r="GS15" s="337"/>
      <c r="GT15" s="338"/>
      <c r="GU15" s="338" t="s">
        <v>1997</v>
      </c>
      <c r="GV15" s="338">
        <v>3</v>
      </c>
      <c r="GW15" s="338"/>
      <c r="GX15" s="338"/>
      <c r="GY15" s="338"/>
      <c r="GZ15" s="338"/>
      <c r="HA15" s="338"/>
      <c r="HB15" s="338"/>
      <c r="HJ15" s="347"/>
      <c r="HK15" s="347"/>
      <c r="HL15" s="347"/>
      <c r="HM15" s="347"/>
      <c r="HN15" s="347"/>
      <c r="HO15" s="348" t="s">
        <v>1996</v>
      </c>
      <c r="HP15" s="348"/>
      <c r="HQ15" s="348"/>
      <c r="HR15" s="349"/>
      <c r="HS15" s="349"/>
      <c r="HT15" s="349"/>
      <c r="HU15" s="349"/>
      <c r="HV15" s="349"/>
      <c r="HW15" s="337"/>
      <c r="HX15" s="338"/>
      <c r="HY15" s="338" t="s">
        <v>1997</v>
      </c>
      <c r="HZ15" s="338">
        <v>3</v>
      </c>
      <c r="IA15" s="338"/>
      <c r="IB15" s="338"/>
      <c r="IC15" s="338"/>
      <c r="ID15" s="338"/>
      <c r="IE15" s="338"/>
      <c r="IF15" s="338"/>
      <c r="IN15" s="347"/>
      <c r="IO15" s="347"/>
      <c r="IP15" s="347"/>
      <c r="IQ15" s="347"/>
      <c r="IR15" s="347"/>
      <c r="IS15" s="348" t="s">
        <v>1996</v>
      </c>
      <c r="IT15" s="348"/>
      <c r="IU15" s="348"/>
      <c r="IV15" s="349"/>
      <c r="IW15" s="349"/>
      <c r="IX15" s="349"/>
      <c r="IY15" s="349"/>
      <c r="IZ15" s="349"/>
      <c r="JA15" s="337"/>
      <c r="JB15" s="338"/>
      <c r="JC15" s="338" t="s">
        <v>1997</v>
      </c>
      <c r="JD15" s="338">
        <v>3</v>
      </c>
      <c r="JE15" s="338"/>
      <c r="JF15" s="338"/>
      <c r="JG15" s="338"/>
      <c r="JH15" s="338"/>
      <c r="JI15" s="338"/>
      <c r="JJ15" s="338"/>
      <c r="JR15" s="347"/>
      <c r="JS15" s="347"/>
      <c r="JT15" s="347"/>
      <c r="JU15" s="347"/>
      <c r="JV15" s="347"/>
      <c r="JW15" s="348" t="s">
        <v>1996</v>
      </c>
      <c r="JX15" s="348"/>
      <c r="JY15" s="348"/>
      <c r="JZ15" s="332"/>
      <c r="KA15" s="332"/>
      <c r="KB15" s="332"/>
      <c r="KC15" s="332"/>
      <c r="KD15" s="332"/>
      <c r="KE15" s="337"/>
      <c r="KF15" s="338"/>
      <c r="KG15" s="338" t="s">
        <v>1997</v>
      </c>
      <c r="KH15" s="338">
        <v>3</v>
      </c>
      <c r="KI15" s="338"/>
      <c r="KJ15" s="338"/>
      <c r="KK15" s="338"/>
      <c r="KL15" s="338"/>
      <c r="KM15" s="338"/>
      <c r="KN15" s="338"/>
      <c r="KV15" s="347"/>
      <c r="KW15" s="347"/>
      <c r="KX15" s="347"/>
      <c r="KY15" s="347"/>
      <c r="KZ15" s="347"/>
      <c r="LA15" s="348" t="s">
        <v>1996</v>
      </c>
      <c r="LB15" s="348"/>
      <c r="LC15" s="348"/>
      <c r="LD15" s="332"/>
      <c r="LE15" s="332"/>
      <c r="LF15" s="332"/>
      <c r="LG15" s="332"/>
      <c r="LH15" s="332"/>
      <c r="LI15" s="337"/>
      <c r="LJ15" s="338"/>
      <c r="LK15" s="338" t="s">
        <v>1997</v>
      </c>
      <c r="LL15" s="338">
        <v>3</v>
      </c>
      <c r="LM15" s="338"/>
      <c r="LN15" s="338"/>
      <c r="LO15" s="338"/>
      <c r="LP15" s="338"/>
      <c r="LQ15" s="338"/>
      <c r="LR15" s="338"/>
      <c r="LZ15" s="347"/>
      <c r="MA15" s="347"/>
      <c r="MB15" s="347"/>
      <c r="MC15" s="347"/>
      <c r="MD15" s="347"/>
      <c r="ME15" s="348" t="s">
        <v>1996</v>
      </c>
      <c r="MF15" s="348"/>
      <c r="MG15" s="348"/>
      <c r="MH15" s="332"/>
      <c r="MI15" s="332"/>
      <c r="MJ15" s="332"/>
      <c r="MK15" s="332"/>
      <c r="ML15" s="332"/>
      <c r="MM15" s="337"/>
      <c r="MN15" s="338"/>
      <c r="MO15" s="338" t="s">
        <v>1997</v>
      </c>
      <c r="MP15" s="338">
        <v>3</v>
      </c>
      <c r="MQ15" s="338"/>
      <c r="MR15" s="338"/>
      <c r="MS15" s="338"/>
      <c r="MT15" s="338"/>
      <c r="MU15" s="338"/>
      <c r="MV15" s="338"/>
      <c r="ND15" s="347"/>
      <c r="NE15" s="347"/>
      <c r="NF15" s="347"/>
      <c r="NG15" s="347"/>
      <c r="NH15" s="347"/>
      <c r="NI15" s="348" t="s">
        <v>1996</v>
      </c>
      <c r="NJ15" s="348"/>
      <c r="NK15" s="348"/>
      <c r="NL15" s="332"/>
      <c r="NM15" s="332"/>
      <c r="NN15" s="332"/>
      <c r="NO15" s="332"/>
      <c r="NP15" s="332"/>
      <c r="NQ15" s="337"/>
      <c r="NR15" s="338"/>
      <c r="NS15" s="338" t="s">
        <v>1997</v>
      </c>
      <c r="NT15" s="338">
        <v>3</v>
      </c>
      <c r="NU15" s="338"/>
      <c r="NV15" s="338"/>
      <c r="NW15" s="338"/>
      <c r="NX15" s="338"/>
      <c r="NY15" s="338"/>
      <c r="NZ15" s="338"/>
      <c r="OH15" s="347"/>
      <c r="OI15" s="347"/>
      <c r="OJ15" s="347"/>
      <c r="OK15" s="347"/>
      <c r="OL15" s="347"/>
      <c r="OM15" s="348" t="s">
        <v>1996</v>
      </c>
      <c r="ON15" s="348"/>
      <c r="OO15" s="348"/>
      <c r="OP15" s="332"/>
      <c r="OQ15" s="332"/>
      <c r="OR15" s="332"/>
      <c r="OS15" s="332"/>
      <c r="OT15" s="332"/>
      <c r="OU15" s="337"/>
      <c r="OV15" s="338"/>
      <c r="OW15" s="338" t="s">
        <v>1997</v>
      </c>
      <c r="OX15" s="338">
        <v>3</v>
      </c>
      <c r="OY15" s="338"/>
      <c r="OZ15" s="338"/>
      <c r="PA15" s="338"/>
      <c r="PB15" s="338"/>
      <c r="PC15" s="338"/>
      <c r="PD15" s="338"/>
      <c r="PL15" s="347"/>
      <c r="PM15" s="347"/>
      <c r="PN15" s="347"/>
      <c r="PO15" s="347"/>
      <c r="PP15" s="347"/>
      <c r="PQ15" s="348" t="s">
        <v>1996</v>
      </c>
      <c r="PR15" s="348"/>
      <c r="PS15" s="348"/>
      <c r="PT15" s="349"/>
      <c r="PU15" s="349"/>
      <c r="PV15" s="349"/>
      <c r="PW15" s="349"/>
      <c r="PX15" s="349"/>
      <c r="PY15" s="337"/>
      <c r="PZ15" s="338"/>
      <c r="QA15" s="338" t="s">
        <v>1997</v>
      </c>
      <c r="QB15" s="338">
        <v>3</v>
      </c>
      <c r="QC15" s="338"/>
      <c r="QD15" s="338"/>
      <c r="QE15" s="338"/>
      <c r="QF15" s="338"/>
      <c r="QG15" s="338"/>
      <c r="QH15" s="338"/>
      <c r="QP15" s="347"/>
      <c r="QQ15" s="347"/>
      <c r="QR15" s="347"/>
      <c r="QS15" s="347"/>
      <c r="QT15" s="347"/>
      <c r="QU15" s="348" t="s">
        <v>1996</v>
      </c>
      <c r="QV15" s="348"/>
      <c r="QW15" s="348"/>
      <c r="QX15" s="349"/>
      <c r="QY15" s="349"/>
      <c r="QZ15" s="349"/>
      <c r="RA15" s="349"/>
      <c r="RB15" s="349"/>
      <c r="RC15" s="337"/>
      <c r="RD15" s="338"/>
      <c r="RE15" s="338" t="s">
        <v>1997</v>
      </c>
      <c r="RF15" s="338">
        <v>3</v>
      </c>
      <c r="RG15" s="338"/>
      <c r="RH15" s="338"/>
      <c r="RI15" s="338"/>
      <c r="RJ15" s="338"/>
      <c r="RK15" s="338"/>
      <c r="RL15" s="338"/>
      <c r="RT15" s="347"/>
      <c r="RU15" s="347"/>
      <c r="RV15" s="347"/>
      <c r="RW15" s="347"/>
      <c r="RX15" s="347"/>
      <c r="RY15" s="348" t="s">
        <v>1996</v>
      </c>
      <c r="RZ15" s="348"/>
      <c r="SA15" s="348"/>
      <c r="SB15" s="332"/>
      <c r="SC15" s="332"/>
      <c r="SD15" s="332"/>
      <c r="SE15" s="332"/>
      <c r="SF15" s="332"/>
      <c r="SG15" s="337"/>
      <c r="SH15" s="338"/>
      <c r="SI15" s="338" t="s">
        <v>1997</v>
      </c>
      <c r="SJ15" s="338">
        <v>3</v>
      </c>
      <c r="SK15" s="338"/>
      <c r="SL15" s="338"/>
      <c r="SM15" s="338"/>
      <c r="SN15" s="338"/>
      <c r="SO15" s="338"/>
      <c r="SP15" s="338"/>
      <c r="SX15" s="347"/>
      <c r="SY15" s="347"/>
      <c r="SZ15" s="347"/>
      <c r="TA15" s="347"/>
      <c r="TB15" s="347"/>
      <c r="TC15" s="348" t="s">
        <v>1996</v>
      </c>
      <c r="TD15" s="348"/>
      <c r="TE15" s="348"/>
      <c r="TF15" s="332"/>
      <c r="TG15" s="332"/>
      <c r="TH15" s="332"/>
      <c r="TI15" s="332"/>
      <c r="TJ15" s="332"/>
      <c r="TK15" s="337"/>
      <c r="TL15" s="338"/>
      <c r="TM15" s="338" t="s">
        <v>1997</v>
      </c>
      <c r="TN15" s="338">
        <v>3</v>
      </c>
      <c r="TO15" s="338"/>
      <c r="TP15" s="338"/>
      <c r="TQ15" s="338"/>
      <c r="TR15" s="338"/>
      <c r="TS15" s="338"/>
      <c r="TT15" s="338"/>
      <c r="UB15" s="347"/>
      <c r="UC15" s="347"/>
      <c r="UD15" s="347"/>
      <c r="UE15" s="347"/>
      <c r="UF15" s="347"/>
      <c r="UG15" s="348" t="s">
        <v>1996</v>
      </c>
      <c r="UH15" s="348"/>
      <c r="UI15" s="348"/>
      <c r="UJ15" s="332"/>
      <c r="UK15" s="332"/>
      <c r="UL15" s="332"/>
      <c r="UM15" s="332"/>
      <c r="UN15" s="332"/>
      <c r="UO15" s="337"/>
      <c r="UP15" s="338"/>
      <c r="UQ15" s="338" t="s">
        <v>1997</v>
      </c>
      <c r="UR15" s="338">
        <v>3</v>
      </c>
      <c r="US15" s="338"/>
      <c r="UT15" s="338"/>
      <c r="UU15" s="338"/>
      <c r="UV15" s="338"/>
      <c r="UW15" s="338"/>
      <c r="UX15" s="338"/>
      <c r="VF15" s="347"/>
      <c r="VG15" s="347"/>
      <c r="VH15" s="347"/>
      <c r="VI15" s="347"/>
      <c r="VJ15" s="347"/>
      <c r="VK15" s="348" t="s">
        <v>1996</v>
      </c>
      <c r="VL15" s="348"/>
      <c r="VM15" s="348"/>
      <c r="VN15" s="332"/>
      <c r="VO15" s="332"/>
      <c r="VP15" s="332"/>
      <c r="VQ15" s="332"/>
      <c r="VR15" s="332"/>
      <c r="VS15" s="337"/>
      <c r="VT15" s="338"/>
      <c r="VU15" s="338" t="s">
        <v>1997</v>
      </c>
      <c r="VV15" s="338">
        <v>3</v>
      </c>
      <c r="VW15" s="338"/>
      <c r="VX15" s="338"/>
      <c r="VY15" s="338"/>
      <c r="VZ15" s="338"/>
      <c r="WA15" s="338"/>
      <c r="WB15" s="338"/>
      <c r="WJ15" s="347"/>
      <c r="WK15" s="347"/>
      <c r="WL15" s="347"/>
      <c r="WM15" s="347"/>
      <c r="WN15" s="347"/>
      <c r="WO15" s="348" t="s">
        <v>1996</v>
      </c>
      <c r="WP15" s="348"/>
      <c r="WQ15" s="348"/>
      <c r="WR15" s="332"/>
      <c r="WS15" s="332"/>
      <c r="WT15" s="332"/>
      <c r="WU15" s="332"/>
      <c r="WV15" s="332"/>
      <c r="WW15" s="337"/>
      <c r="WX15" s="338"/>
      <c r="WY15" s="338" t="s">
        <v>1997</v>
      </c>
      <c r="WZ15" s="338">
        <v>3</v>
      </c>
      <c r="XA15" s="338"/>
      <c r="XB15" s="338"/>
      <c r="XC15" s="338"/>
      <c r="XD15" s="338"/>
      <c r="XE15" s="338"/>
      <c r="XF15" s="338"/>
      <c r="XN15" s="347"/>
      <c r="XO15" s="347"/>
      <c r="XP15" s="347"/>
      <c r="XQ15" s="347"/>
      <c r="XR15" s="347"/>
      <c r="XS15" s="348" t="s">
        <v>1996</v>
      </c>
      <c r="XT15" s="348"/>
      <c r="XU15" s="348"/>
      <c r="XV15" s="349"/>
      <c r="XW15" s="349"/>
      <c r="XX15" s="349"/>
      <c r="XY15" s="349"/>
      <c r="XZ15" s="349"/>
      <c r="YA15" s="337"/>
      <c r="YB15" s="338"/>
      <c r="YC15" s="338" t="s">
        <v>1997</v>
      </c>
      <c r="YD15" s="338">
        <v>3</v>
      </c>
      <c r="YE15" s="338"/>
      <c r="YF15" s="338"/>
      <c r="YG15" s="338"/>
      <c r="YH15" s="338"/>
      <c r="YI15" s="338"/>
      <c r="YJ15" s="338"/>
      <c r="YR15" s="347"/>
      <c r="YS15" s="347"/>
      <c r="YT15" s="347"/>
      <c r="YU15" s="347"/>
      <c r="YV15" s="347"/>
      <c r="YW15" s="348" t="s">
        <v>1996</v>
      </c>
      <c r="YX15" s="348"/>
      <c r="YY15" s="348"/>
      <c r="YZ15" s="349"/>
      <c r="ZA15" s="349"/>
      <c r="ZB15" s="349"/>
      <c r="ZC15" s="349"/>
      <c r="ZD15" s="349"/>
      <c r="ZE15" s="337"/>
      <c r="ZF15" s="338"/>
      <c r="ZG15" s="338" t="s">
        <v>1997</v>
      </c>
      <c r="ZH15" s="338">
        <v>3</v>
      </c>
      <c r="ZI15" s="338"/>
      <c r="ZJ15" s="338"/>
      <c r="ZK15" s="338"/>
      <c r="ZL15" s="338"/>
      <c r="ZM15" s="338"/>
      <c r="ZN15" s="338"/>
      <c r="ZV15" s="347"/>
      <c r="ZW15" s="347"/>
      <c r="ZX15" s="347"/>
      <c r="ZY15" s="347"/>
      <c r="ZZ15" s="347"/>
      <c r="AAA15" s="348" t="s">
        <v>1996</v>
      </c>
      <c r="AAB15" s="348"/>
      <c r="AAC15" s="348"/>
      <c r="AAD15" s="332"/>
      <c r="AAE15" s="332"/>
      <c r="AAF15" s="332"/>
      <c r="AAG15" s="332"/>
      <c r="AAH15" s="332"/>
      <c r="AAI15" s="337"/>
      <c r="AAJ15" s="338"/>
      <c r="AAK15" s="338" t="s">
        <v>1997</v>
      </c>
      <c r="AAL15" s="338">
        <v>3</v>
      </c>
      <c r="AAM15" s="338"/>
      <c r="AAN15" s="338"/>
      <c r="AAO15" s="338"/>
      <c r="AAP15" s="338"/>
      <c r="AAQ15" s="338"/>
      <c r="AAR15" s="338"/>
      <c r="AAZ15" s="347"/>
      <c r="ABA15" s="347"/>
      <c r="ABB15" s="347"/>
      <c r="ABC15" s="347"/>
      <c r="ABD15" s="347"/>
      <c r="ABE15" s="348" t="s">
        <v>1996</v>
      </c>
      <c r="ABF15" s="348"/>
      <c r="ABG15" s="348"/>
      <c r="ABH15" s="332"/>
      <c r="ABI15" s="332"/>
      <c r="ABJ15" s="332"/>
      <c r="ABK15" s="332"/>
      <c r="ABL15" s="332"/>
      <c r="ABM15" s="337"/>
      <c r="ABN15" s="338"/>
      <c r="ABO15" s="338" t="s">
        <v>1997</v>
      </c>
      <c r="ABP15" s="338">
        <v>3</v>
      </c>
      <c r="ABQ15" s="338"/>
      <c r="ABR15" s="338"/>
      <c r="ABS15" s="338"/>
      <c r="ABT15" s="338"/>
      <c r="ABU15" s="338"/>
      <c r="ABV15" s="338"/>
      <c r="ACD15" s="347"/>
      <c r="ACE15" s="347"/>
      <c r="ACF15" s="347"/>
      <c r="ACG15" s="347"/>
      <c r="ACH15" s="347"/>
      <c r="ACI15" s="348" t="s">
        <v>1996</v>
      </c>
      <c r="ACJ15" s="348"/>
      <c r="ACK15" s="348"/>
      <c r="ACL15" s="332"/>
      <c r="ACM15" s="332"/>
      <c r="ACN15" s="332"/>
      <c r="ACO15" s="332"/>
      <c r="ACP15" s="332"/>
      <c r="ACQ15" s="337"/>
      <c r="ACR15" s="338"/>
      <c r="ACS15" s="338" t="s">
        <v>1997</v>
      </c>
      <c r="ACT15" s="338">
        <v>3</v>
      </c>
      <c r="ACU15" s="338"/>
      <c r="ACV15" s="338"/>
      <c r="ACW15" s="338"/>
      <c r="ACX15" s="338"/>
      <c r="ACY15" s="338"/>
      <c r="ACZ15" s="338"/>
      <c r="ADH15" s="347"/>
      <c r="ADI15" s="347"/>
      <c r="ADJ15" s="347"/>
      <c r="ADK15" s="347"/>
      <c r="ADL15" s="347"/>
      <c r="ADM15" s="348" t="s">
        <v>1996</v>
      </c>
      <c r="ADN15" s="348"/>
      <c r="ADO15" s="348"/>
      <c r="ADP15" s="332"/>
      <c r="ADQ15" s="332"/>
      <c r="ADR15" s="332"/>
      <c r="ADS15" s="332"/>
      <c r="ADT15" s="332"/>
      <c r="ADU15" s="337"/>
      <c r="ADV15" s="338"/>
      <c r="ADW15" s="338" t="s">
        <v>1997</v>
      </c>
      <c r="ADX15" s="338">
        <v>3</v>
      </c>
      <c r="ADY15" s="338"/>
      <c r="ADZ15" s="338"/>
      <c r="AEA15" s="338"/>
      <c r="AEB15" s="338"/>
      <c r="AEC15" s="338"/>
      <c r="AED15" s="338"/>
      <c r="AEL15" s="347"/>
      <c r="AEM15" s="347"/>
      <c r="AEN15" s="347"/>
      <c r="AEO15" s="347"/>
      <c r="AEP15" s="347"/>
      <c r="AEQ15" s="348" t="s">
        <v>1996</v>
      </c>
      <c r="AER15" s="348"/>
      <c r="AES15" s="348"/>
      <c r="AET15" s="332"/>
      <c r="AEU15" s="332"/>
      <c r="AEV15" s="332"/>
      <c r="AEW15" s="332"/>
      <c r="AEX15" s="332"/>
      <c r="AEY15" s="337"/>
      <c r="AEZ15" s="338"/>
      <c r="AFA15" s="338" t="s">
        <v>1997</v>
      </c>
      <c r="AFB15" s="338">
        <v>3</v>
      </c>
      <c r="AFC15" s="338"/>
      <c r="AFD15" s="338"/>
      <c r="AFE15" s="338"/>
      <c r="AFF15" s="338"/>
      <c r="AFG15" s="338"/>
      <c r="AFH15" s="338"/>
      <c r="AFP15" s="347"/>
      <c r="AFQ15" s="347"/>
      <c r="AFR15" s="347"/>
      <c r="AFS15" s="347"/>
      <c r="AFT15" s="347"/>
      <c r="AFU15" s="348" t="s">
        <v>1996</v>
      </c>
      <c r="AFV15" s="348"/>
      <c r="AFW15" s="348"/>
      <c r="AFX15" s="349"/>
      <c r="AFY15" s="349"/>
      <c r="AFZ15" s="349"/>
      <c r="AGA15" s="349"/>
      <c r="AGB15" s="349"/>
      <c r="AGC15" s="337"/>
      <c r="AGD15" s="338"/>
      <c r="AGE15" s="338" t="s">
        <v>1997</v>
      </c>
      <c r="AGF15" s="338">
        <v>3</v>
      </c>
      <c r="AGG15" s="338"/>
      <c r="AGH15" s="338"/>
      <c r="AGI15" s="338"/>
      <c r="AGJ15" s="338"/>
      <c r="AGK15" s="338"/>
      <c r="AGL15" s="338"/>
      <c r="AGT15" s="347"/>
      <c r="AGU15" s="347"/>
      <c r="AGV15" s="347"/>
      <c r="AGW15" s="347"/>
      <c r="AGX15" s="347"/>
      <c r="AGY15" s="348" t="s">
        <v>1996</v>
      </c>
      <c r="AGZ15" s="348"/>
      <c r="AHA15" s="348"/>
      <c r="AHB15" s="349"/>
      <c r="AHC15" s="349"/>
      <c r="AHD15" s="349"/>
      <c r="AHE15" s="349"/>
      <c r="AHF15" s="349"/>
      <c r="AHG15" s="337"/>
      <c r="AHH15" s="338"/>
      <c r="AHI15" s="338" t="s">
        <v>1997</v>
      </c>
      <c r="AHJ15" s="338">
        <v>3</v>
      </c>
      <c r="AHK15" s="338"/>
      <c r="AHL15" s="338"/>
      <c r="AHM15" s="338"/>
      <c r="AHN15" s="338"/>
      <c r="AHO15" s="338"/>
      <c r="AHP15" s="338"/>
      <c r="AHX15" s="347"/>
      <c r="AHY15" s="347"/>
      <c r="AHZ15" s="347"/>
      <c r="AIA15" s="347"/>
      <c r="AIB15" s="347"/>
      <c r="AIC15" s="348" t="s">
        <v>1996</v>
      </c>
      <c r="AID15" s="348"/>
      <c r="AIE15" s="348"/>
      <c r="AIF15" s="332"/>
      <c r="AIG15" s="332"/>
      <c r="AIH15" s="332"/>
      <c r="AII15" s="332"/>
      <c r="AIJ15" s="332"/>
      <c r="AIK15" s="337"/>
      <c r="AIL15" s="338"/>
      <c r="AIM15" s="338" t="s">
        <v>1997</v>
      </c>
      <c r="AIN15" s="338">
        <v>3</v>
      </c>
      <c r="AIO15" s="338"/>
      <c r="AIP15" s="338"/>
      <c r="AIQ15" s="338"/>
      <c r="AIR15" s="338"/>
      <c r="AIS15" s="338"/>
      <c r="AIT15" s="338"/>
      <c r="AJB15" s="347"/>
      <c r="AJC15" s="347"/>
      <c r="AJD15" s="347"/>
      <c r="AJE15" s="347"/>
      <c r="AJF15" s="347"/>
      <c r="AJG15" s="348" t="s">
        <v>1996</v>
      </c>
      <c r="AJH15" s="348"/>
      <c r="AJI15" s="348"/>
      <c r="AJJ15" s="332"/>
      <c r="AJK15" s="332"/>
      <c r="AJL15" s="332"/>
      <c r="AJM15" s="332"/>
      <c r="AJN15" s="332"/>
      <c r="AJO15" s="337"/>
      <c r="AJP15" s="338"/>
      <c r="AJQ15" s="338" t="s">
        <v>1997</v>
      </c>
      <c r="AJR15" s="338">
        <v>3</v>
      </c>
      <c r="AJS15" s="338"/>
      <c r="AJT15" s="338"/>
      <c r="AJU15" s="338"/>
      <c r="AJV15" s="338"/>
      <c r="AJW15" s="338"/>
      <c r="AJX15" s="338"/>
      <c r="AKF15" s="347"/>
      <c r="AKG15" s="347"/>
      <c r="AKH15" s="347"/>
      <c r="AKI15" s="347"/>
      <c r="AKJ15" s="347"/>
      <c r="AKK15" s="348" t="s">
        <v>1996</v>
      </c>
      <c r="AKL15" s="348"/>
      <c r="AKM15" s="348"/>
      <c r="AKN15" s="332"/>
      <c r="AKO15" s="332"/>
      <c r="AKP15" s="332"/>
      <c r="AKQ15" s="332"/>
      <c r="AKR15" s="332"/>
      <c r="AKS15" s="337"/>
      <c r="AKT15" s="338"/>
      <c r="AKU15" s="338" t="s">
        <v>1997</v>
      </c>
      <c r="AKV15" s="338">
        <v>3</v>
      </c>
      <c r="AKW15" s="338"/>
      <c r="AKX15" s="338"/>
      <c r="AKY15" s="338"/>
      <c r="AKZ15" s="338"/>
      <c r="ALA15" s="338"/>
      <c r="ALB15" s="338"/>
      <c r="ALJ15" s="347"/>
      <c r="ALK15" s="347"/>
      <c r="ALL15" s="347"/>
      <c r="ALM15" s="347"/>
      <c r="ALN15" s="347"/>
      <c r="ALO15" s="348" t="s">
        <v>1996</v>
      </c>
      <c r="ALP15" s="348"/>
      <c r="ALQ15" s="348"/>
      <c r="ALR15" s="332"/>
      <c r="ALS15" s="332"/>
      <c r="ALT15" s="332"/>
      <c r="ALU15" s="332"/>
      <c r="ALV15" s="332"/>
      <c r="ALW15" s="337"/>
      <c r="ALX15" s="338"/>
      <c r="ALY15" s="338" t="s">
        <v>1997</v>
      </c>
      <c r="ALZ15" s="338">
        <v>3</v>
      </c>
      <c r="AMA15" s="338"/>
      <c r="AMB15" s="338"/>
      <c r="AMC15" s="338"/>
      <c r="AMD15" s="338"/>
      <c r="AME15" s="338"/>
      <c r="AMF15" s="338"/>
      <c r="AMG15" s="335"/>
      <c r="AMH15" s="335"/>
      <c r="AMI15" s="335"/>
      <c r="AMJ15" s="335"/>
    </row>
    <row r="16" spans="1:1024" ht="56.25" x14ac:dyDescent="0.2">
      <c r="A16" s="339"/>
      <c r="B16" s="339"/>
      <c r="C16" s="339"/>
      <c r="D16" s="339"/>
      <c r="E16" s="339"/>
      <c r="F16" s="339"/>
      <c r="G16" s="339"/>
      <c r="H16" s="350" t="s">
        <v>1998</v>
      </c>
      <c r="U16" s="337"/>
      <c r="V16" s="338"/>
      <c r="W16" s="338" t="s">
        <v>1997</v>
      </c>
      <c r="X16" s="338">
        <v>1</v>
      </c>
      <c r="Y16" s="338"/>
      <c r="Z16" s="338"/>
      <c r="AA16" s="338"/>
      <c r="AB16" s="338"/>
      <c r="AC16" s="338"/>
      <c r="AD16" s="338"/>
      <c r="AE16" s="339"/>
      <c r="AF16" s="339"/>
      <c r="AG16" s="339"/>
      <c r="AH16" s="339"/>
      <c r="AI16" s="339"/>
      <c r="AJ16" s="339"/>
      <c r="AK16" s="339"/>
      <c r="AL16" s="350" t="s">
        <v>1998</v>
      </c>
      <c r="AY16" s="337"/>
      <c r="AZ16" s="338"/>
      <c r="BA16" s="338" t="s">
        <v>1997</v>
      </c>
      <c r="BB16" s="338">
        <v>1</v>
      </c>
      <c r="BC16" s="338"/>
      <c r="BD16" s="338"/>
      <c r="BE16" s="338"/>
      <c r="BF16" s="338"/>
      <c r="BG16" s="338"/>
      <c r="BH16" s="338"/>
      <c r="BI16" s="339"/>
      <c r="BJ16" s="339"/>
      <c r="BK16" s="339"/>
      <c r="BL16" s="339"/>
      <c r="BM16" s="339"/>
      <c r="BN16" s="339"/>
      <c r="BO16" s="339"/>
      <c r="BP16" s="350" t="s">
        <v>1998</v>
      </c>
      <c r="CC16" s="337"/>
      <c r="CD16" s="338"/>
      <c r="CE16" s="338" t="s">
        <v>1997</v>
      </c>
      <c r="CF16" s="338">
        <v>1</v>
      </c>
      <c r="CG16" s="338"/>
      <c r="CH16" s="338"/>
      <c r="CI16" s="338"/>
      <c r="CJ16" s="338"/>
      <c r="CK16" s="338"/>
      <c r="CL16" s="338"/>
      <c r="CM16" s="339"/>
      <c r="CN16" s="339"/>
      <c r="CO16" s="339"/>
      <c r="CP16" s="339"/>
      <c r="CQ16" s="339"/>
      <c r="CR16" s="339"/>
      <c r="CS16" s="339"/>
      <c r="CT16" s="350" t="s">
        <v>1998</v>
      </c>
      <c r="DG16" s="337"/>
      <c r="DH16" s="338"/>
      <c r="DI16" s="338" t="s">
        <v>1997</v>
      </c>
      <c r="DJ16" s="338">
        <v>1</v>
      </c>
      <c r="DK16" s="338"/>
      <c r="DL16" s="338"/>
      <c r="DM16" s="338"/>
      <c r="DN16" s="338"/>
      <c r="DO16" s="338"/>
      <c r="DP16" s="338"/>
      <c r="DQ16" s="339"/>
      <c r="DR16" s="339"/>
      <c r="DS16" s="339"/>
      <c r="DT16" s="339"/>
      <c r="DU16" s="339"/>
      <c r="DV16" s="339"/>
      <c r="DW16" s="339"/>
      <c r="DX16" s="350" t="s">
        <v>1998</v>
      </c>
      <c r="EK16" s="337"/>
      <c r="EL16" s="338"/>
      <c r="EM16" s="338" t="s">
        <v>1997</v>
      </c>
      <c r="EN16" s="338">
        <v>1</v>
      </c>
      <c r="EO16" s="338"/>
      <c r="EP16" s="338"/>
      <c r="EQ16" s="338"/>
      <c r="ER16" s="338"/>
      <c r="ES16" s="338"/>
      <c r="ET16" s="338"/>
      <c r="EU16" s="339"/>
      <c r="EV16" s="339"/>
      <c r="EW16" s="339"/>
      <c r="EX16" s="339"/>
      <c r="EY16" s="339"/>
      <c r="EZ16" s="339"/>
      <c r="FA16" s="339"/>
      <c r="FB16" s="350" t="s">
        <v>1998</v>
      </c>
      <c r="FO16" s="337"/>
      <c r="FP16" s="338"/>
      <c r="FQ16" s="338" t="s">
        <v>1997</v>
      </c>
      <c r="FR16" s="338">
        <v>1</v>
      </c>
      <c r="FS16" s="338"/>
      <c r="FT16" s="338"/>
      <c r="FU16" s="338"/>
      <c r="FV16" s="338"/>
      <c r="FW16" s="338"/>
      <c r="FX16" s="338"/>
      <c r="FY16" s="339"/>
      <c r="FZ16" s="339"/>
      <c r="GA16" s="339"/>
      <c r="GB16" s="339"/>
      <c r="GC16" s="339"/>
      <c r="GD16" s="339"/>
      <c r="GE16" s="339"/>
      <c r="GF16" s="350" t="s">
        <v>1998</v>
      </c>
      <c r="GS16" s="337"/>
      <c r="GT16" s="338"/>
      <c r="GU16" s="338" t="s">
        <v>1997</v>
      </c>
      <c r="GV16" s="338">
        <v>1</v>
      </c>
      <c r="GW16" s="338"/>
      <c r="GX16" s="338"/>
      <c r="GY16" s="338"/>
      <c r="GZ16" s="338"/>
      <c r="HA16" s="338"/>
      <c r="HB16" s="338"/>
      <c r="HC16" s="339"/>
      <c r="HD16" s="339"/>
      <c r="HE16" s="339"/>
      <c r="HF16" s="339"/>
      <c r="HG16" s="339"/>
      <c r="HH16" s="339"/>
      <c r="HI16" s="339"/>
      <c r="HJ16" s="350" t="s">
        <v>1998</v>
      </c>
      <c r="HW16" s="337"/>
      <c r="HX16" s="338"/>
      <c r="HY16" s="338" t="s">
        <v>1997</v>
      </c>
      <c r="HZ16" s="338">
        <v>1</v>
      </c>
      <c r="IA16" s="338"/>
      <c r="IB16" s="338"/>
      <c r="IC16" s="338"/>
      <c r="ID16" s="338"/>
      <c r="IE16" s="338"/>
      <c r="IF16" s="338"/>
      <c r="IG16" s="339"/>
      <c r="IH16" s="339"/>
      <c r="II16" s="339"/>
      <c r="IJ16" s="339"/>
      <c r="IK16" s="339"/>
      <c r="IL16" s="339"/>
      <c r="IM16" s="339"/>
      <c r="IN16" s="350" t="s">
        <v>1998</v>
      </c>
      <c r="JA16" s="337"/>
      <c r="JB16" s="338"/>
      <c r="JC16" s="338" t="s">
        <v>1997</v>
      </c>
      <c r="JD16" s="338">
        <v>1</v>
      </c>
      <c r="JE16" s="338"/>
      <c r="JF16" s="338"/>
      <c r="JG16" s="338"/>
      <c r="JH16" s="338"/>
      <c r="JI16" s="338"/>
      <c r="JJ16" s="338"/>
      <c r="JK16" s="339"/>
      <c r="JL16" s="339"/>
      <c r="JM16" s="339"/>
      <c r="JN16" s="339"/>
      <c r="JO16" s="339"/>
      <c r="JP16" s="339"/>
      <c r="JQ16" s="339"/>
      <c r="JR16" s="350" t="s">
        <v>1998</v>
      </c>
      <c r="KE16" s="337"/>
      <c r="KF16" s="338"/>
      <c r="KG16" s="338" t="s">
        <v>1997</v>
      </c>
      <c r="KH16" s="338">
        <v>1</v>
      </c>
      <c r="KI16" s="338"/>
      <c r="KJ16" s="338"/>
      <c r="KK16" s="338"/>
      <c r="KL16" s="338"/>
      <c r="KM16" s="338"/>
      <c r="KN16" s="338"/>
      <c r="KO16" s="339"/>
      <c r="KP16" s="339"/>
      <c r="KQ16" s="339"/>
      <c r="KR16" s="339"/>
      <c r="KS16" s="339"/>
      <c r="KT16" s="339"/>
      <c r="KU16" s="339"/>
      <c r="KV16" s="350" t="s">
        <v>1998</v>
      </c>
      <c r="LI16" s="337"/>
      <c r="LJ16" s="338"/>
      <c r="LK16" s="338" t="s">
        <v>1997</v>
      </c>
      <c r="LL16" s="338">
        <v>1</v>
      </c>
      <c r="LM16" s="338"/>
      <c r="LN16" s="338"/>
      <c r="LO16" s="338"/>
      <c r="LP16" s="338"/>
      <c r="LQ16" s="338"/>
      <c r="LR16" s="338"/>
      <c r="LS16" s="339"/>
      <c r="LT16" s="339"/>
      <c r="LU16" s="339"/>
      <c r="LV16" s="339"/>
      <c r="LW16" s="339"/>
      <c r="LX16" s="339"/>
      <c r="LY16" s="339"/>
      <c r="LZ16" s="350" t="s">
        <v>1998</v>
      </c>
      <c r="MM16" s="337"/>
      <c r="MN16" s="338"/>
      <c r="MO16" s="338" t="s">
        <v>1997</v>
      </c>
      <c r="MP16" s="338">
        <v>1</v>
      </c>
      <c r="MQ16" s="338"/>
      <c r="MR16" s="338"/>
      <c r="MS16" s="338"/>
      <c r="MT16" s="338"/>
      <c r="MU16" s="338"/>
      <c r="MV16" s="338"/>
      <c r="MW16" s="339"/>
      <c r="MX16" s="339"/>
      <c r="MY16" s="339"/>
      <c r="MZ16" s="339"/>
      <c r="NA16" s="339"/>
      <c r="NB16" s="339"/>
      <c r="NC16" s="339"/>
      <c r="ND16" s="350" t="s">
        <v>1998</v>
      </c>
      <c r="NQ16" s="337"/>
      <c r="NR16" s="338"/>
      <c r="NS16" s="338" t="s">
        <v>1997</v>
      </c>
      <c r="NT16" s="338">
        <v>1</v>
      </c>
      <c r="NU16" s="338"/>
      <c r="NV16" s="338"/>
      <c r="NW16" s="338"/>
      <c r="NX16" s="338"/>
      <c r="NY16" s="338"/>
      <c r="NZ16" s="338"/>
      <c r="OA16" s="339"/>
      <c r="OB16" s="339"/>
      <c r="OC16" s="339"/>
      <c r="OD16" s="339"/>
      <c r="OE16" s="339"/>
      <c r="OF16" s="339"/>
      <c r="OG16" s="339"/>
      <c r="OH16" s="350" t="s">
        <v>1998</v>
      </c>
      <c r="OU16" s="337"/>
      <c r="OV16" s="338"/>
      <c r="OW16" s="338" t="s">
        <v>1997</v>
      </c>
      <c r="OX16" s="338">
        <v>1</v>
      </c>
      <c r="OY16" s="338"/>
      <c r="OZ16" s="338"/>
      <c r="PA16" s="338"/>
      <c r="PB16" s="338"/>
      <c r="PC16" s="338"/>
      <c r="PD16" s="338"/>
      <c r="PE16" s="339"/>
      <c r="PF16" s="339"/>
      <c r="PG16" s="339"/>
      <c r="PH16" s="339"/>
      <c r="PI16" s="339"/>
      <c r="PJ16" s="339"/>
      <c r="PK16" s="339"/>
      <c r="PL16" s="350" t="s">
        <v>1998</v>
      </c>
      <c r="PY16" s="337"/>
      <c r="PZ16" s="338"/>
      <c r="QA16" s="338" t="s">
        <v>1997</v>
      </c>
      <c r="QB16" s="338">
        <v>1</v>
      </c>
      <c r="QC16" s="338"/>
      <c r="QD16" s="338"/>
      <c r="QE16" s="338"/>
      <c r="QF16" s="338"/>
      <c r="QG16" s="338"/>
      <c r="QH16" s="338"/>
      <c r="QI16" s="339"/>
      <c r="QJ16" s="339"/>
      <c r="QK16" s="339"/>
      <c r="QL16" s="339"/>
      <c r="QM16" s="339"/>
      <c r="QN16" s="339"/>
      <c r="QO16" s="339"/>
      <c r="QP16" s="350" t="s">
        <v>1998</v>
      </c>
      <c r="RC16" s="337"/>
      <c r="RD16" s="338"/>
      <c r="RE16" s="338" t="s">
        <v>1997</v>
      </c>
      <c r="RF16" s="338">
        <v>1</v>
      </c>
      <c r="RG16" s="338"/>
      <c r="RH16" s="338"/>
      <c r="RI16" s="338"/>
      <c r="RJ16" s="338"/>
      <c r="RK16" s="338"/>
      <c r="RL16" s="338"/>
      <c r="RM16" s="339"/>
      <c r="RN16" s="339"/>
      <c r="RO16" s="339"/>
      <c r="RP16" s="339"/>
      <c r="RQ16" s="339"/>
      <c r="RR16" s="339"/>
      <c r="RS16" s="339"/>
      <c r="RT16" s="350" t="s">
        <v>1998</v>
      </c>
      <c r="SG16" s="337"/>
      <c r="SH16" s="338"/>
      <c r="SI16" s="338" t="s">
        <v>1997</v>
      </c>
      <c r="SJ16" s="338">
        <v>1</v>
      </c>
      <c r="SK16" s="338"/>
      <c r="SL16" s="338"/>
      <c r="SM16" s="338"/>
      <c r="SN16" s="338"/>
      <c r="SO16" s="338"/>
      <c r="SP16" s="338"/>
      <c r="SQ16" s="339"/>
      <c r="SR16" s="339"/>
      <c r="SS16" s="339"/>
      <c r="ST16" s="339"/>
      <c r="SU16" s="339"/>
      <c r="SV16" s="339"/>
      <c r="SW16" s="339"/>
      <c r="SX16" s="350" t="s">
        <v>1998</v>
      </c>
      <c r="TK16" s="337"/>
      <c r="TL16" s="338"/>
      <c r="TM16" s="338" t="s">
        <v>1997</v>
      </c>
      <c r="TN16" s="338">
        <v>1</v>
      </c>
      <c r="TO16" s="338"/>
      <c r="TP16" s="338"/>
      <c r="TQ16" s="338"/>
      <c r="TR16" s="338"/>
      <c r="TS16" s="338"/>
      <c r="TT16" s="338"/>
      <c r="TU16" s="339"/>
      <c r="TV16" s="339"/>
      <c r="TW16" s="339"/>
      <c r="TX16" s="339"/>
      <c r="TY16" s="339"/>
      <c r="TZ16" s="339"/>
      <c r="UA16" s="339"/>
      <c r="UB16" s="350" t="s">
        <v>1998</v>
      </c>
      <c r="UO16" s="337"/>
      <c r="UP16" s="338"/>
      <c r="UQ16" s="338" t="s">
        <v>1997</v>
      </c>
      <c r="UR16" s="338">
        <v>1</v>
      </c>
      <c r="US16" s="338"/>
      <c r="UT16" s="338"/>
      <c r="UU16" s="338"/>
      <c r="UV16" s="338"/>
      <c r="UW16" s="338"/>
      <c r="UX16" s="338"/>
      <c r="UY16" s="339"/>
      <c r="UZ16" s="339"/>
      <c r="VA16" s="339"/>
      <c r="VB16" s="339"/>
      <c r="VC16" s="339"/>
      <c r="VD16" s="339"/>
      <c r="VE16" s="339"/>
      <c r="VF16" s="350" t="s">
        <v>1998</v>
      </c>
      <c r="VS16" s="337"/>
      <c r="VT16" s="338"/>
      <c r="VU16" s="338" t="s">
        <v>1997</v>
      </c>
      <c r="VV16" s="338">
        <v>1</v>
      </c>
      <c r="VW16" s="338"/>
      <c r="VX16" s="338"/>
      <c r="VY16" s="338"/>
      <c r="VZ16" s="338"/>
      <c r="WA16" s="338"/>
      <c r="WB16" s="338"/>
      <c r="WC16" s="339"/>
      <c r="WD16" s="339"/>
      <c r="WE16" s="339"/>
      <c r="WF16" s="339"/>
      <c r="WG16" s="339"/>
      <c r="WH16" s="339"/>
      <c r="WI16" s="339"/>
      <c r="WJ16" s="350" t="s">
        <v>1998</v>
      </c>
      <c r="WW16" s="337"/>
      <c r="WX16" s="338"/>
      <c r="WY16" s="338" t="s">
        <v>1997</v>
      </c>
      <c r="WZ16" s="338">
        <v>1</v>
      </c>
      <c r="XA16" s="338"/>
      <c r="XB16" s="338"/>
      <c r="XC16" s="338"/>
      <c r="XD16" s="338"/>
      <c r="XE16" s="338"/>
      <c r="XF16" s="338"/>
      <c r="XG16" s="339"/>
      <c r="XH16" s="339"/>
      <c r="XI16" s="339"/>
      <c r="XJ16" s="339"/>
      <c r="XK16" s="339"/>
      <c r="XL16" s="339"/>
      <c r="XM16" s="339"/>
      <c r="XN16" s="350" t="s">
        <v>1998</v>
      </c>
      <c r="YA16" s="337"/>
      <c r="YB16" s="338"/>
      <c r="YC16" s="338" t="s">
        <v>1997</v>
      </c>
      <c r="YD16" s="338">
        <v>1</v>
      </c>
      <c r="YE16" s="338"/>
      <c r="YF16" s="338"/>
      <c r="YG16" s="338"/>
      <c r="YH16" s="338"/>
      <c r="YI16" s="338"/>
      <c r="YJ16" s="338"/>
      <c r="YK16" s="339"/>
      <c r="YL16" s="339"/>
      <c r="YM16" s="339"/>
      <c r="YN16" s="339"/>
      <c r="YO16" s="339"/>
      <c r="YP16" s="339"/>
      <c r="YQ16" s="339"/>
      <c r="YR16" s="350" t="s">
        <v>1998</v>
      </c>
      <c r="ZE16" s="337"/>
      <c r="ZF16" s="338"/>
      <c r="ZG16" s="338" t="s">
        <v>1997</v>
      </c>
      <c r="ZH16" s="338">
        <v>1</v>
      </c>
      <c r="ZI16" s="338"/>
      <c r="ZJ16" s="338"/>
      <c r="ZK16" s="338"/>
      <c r="ZL16" s="338"/>
      <c r="ZM16" s="338"/>
      <c r="ZN16" s="338"/>
      <c r="ZO16" s="339"/>
      <c r="ZP16" s="339"/>
      <c r="ZQ16" s="339"/>
      <c r="ZR16" s="339"/>
      <c r="ZS16" s="339"/>
      <c r="ZT16" s="339"/>
      <c r="ZU16" s="339"/>
      <c r="ZV16" s="350" t="s">
        <v>1998</v>
      </c>
      <c r="AAI16" s="337"/>
      <c r="AAJ16" s="338"/>
      <c r="AAK16" s="338" t="s">
        <v>1997</v>
      </c>
      <c r="AAL16" s="338">
        <v>1</v>
      </c>
      <c r="AAM16" s="338"/>
      <c r="AAN16" s="338"/>
      <c r="AAO16" s="338"/>
      <c r="AAP16" s="338"/>
      <c r="AAQ16" s="338"/>
      <c r="AAR16" s="338"/>
      <c r="AAS16" s="339"/>
      <c r="AAT16" s="339"/>
      <c r="AAU16" s="339"/>
      <c r="AAV16" s="339"/>
      <c r="AAW16" s="339"/>
      <c r="AAX16" s="339"/>
      <c r="AAY16" s="339"/>
      <c r="AAZ16" s="350" t="s">
        <v>1998</v>
      </c>
      <c r="ABM16" s="337"/>
      <c r="ABN16" s="338"/>
      <c r="ABO16" s="338" t="s">
        <v>1997</v>
      </c>
      <c r="ABP16" s="338">
        <v>1</v>
      </c>
      <c r="ABQ16" s="338"/>
      <c r="ABR16" s="338"/>
      <c r="ABS16" s="338"/>
      <c r="ABT16" s="338"/>
      <c r="ABU16" s="338"/>
      <c r="ABV16" s="338"/>
      <c r="ABW16" s="339"/>
      <c r="ABX16" s="339"/>
      <c r="ABY16" s="339"/>
      <c r="ABZ16" s="339"/>
      <c r="ACA16" s="339"/>
      <c r="ACB16" s="339"/>
      <c r="ACC16" s="339"/>
      <c r="ACD16" s="350" t="s">
        <v>1998</v>
      </c>
      <c r="ACQ16" s="337"/>
      <c r="ACR16" s="338"/>
      <c r="ACS16" s="338" t="s">
        <v>1997</v>
      </c>
      <c r="ACT16" s="338">
        <v>1</v>
      </c>
      <c r="ACU16" s="338"/>
      <c r="ACV16" s="338"/>
      <c r="ACW16" s="338"/>
      <c r="ACX16" s="338"/>
      <c r="ACY16" s="338"/>
      <c r="ACZ16" s="338"/>
      <c r="ADA16" s="339"/>
      <c r="ADB16" s="339"/>
      <c r="ADC16" s="339"/>
      <c r="ADD16" s="339"/>
      <c r="ADE16" s="339"/>
      <c r="ADF16" s="339"/>
      <c r="ADG16" s="339"/>
      <c r="ADH16" s="350" t="s">
        <v>1998</v>
      </c>
      <c r="ADU16" s="337"/>
      <c r="ADV16" s="338"/>
      <c r="ADW16" s="338" t="s">
        <v>1997</v>
      </c>
      <c r="ADX16" s="338">
        <v>1</v>
      </c>
      <c r="ADY16" s="338"/>
      <c r="ADZ16" s="338"/>
      <c r="AEA16" s="338"/>
      <c r="AEB16" s="338"/>
      <c r="AEC16" s="338"/>
      <c r="AED16" s="338"/>
      <c r="AEE16" s="339"/>
      <c r="AEF16" s="339"/>
      <c r="AEG16" s="339"/>
      <c r="AEH16" s="339"/>
      <c r="AEI16" s="339"/>
      <c r="AEJ16" s="339"/>
      <c r="AEK16" s="339"/>
      <c r="AEL16" s="350" t="s">
        <v>1998</v>
      </c>
      <c r="AEY16" s="337"/>
      <c r="AEZ16" s="338"/>
      <c r="AFA16" s="338" t="s">
        <v>1997</v>
      </c>
      <c r="AFB16" s="338">
        <v>1</v>
      </c>
      <c r="AFC16" s="338"/>
      <c r="AFD16" s="338"/>
      <c r="AFE16" s="338"/>
      <c r="AFF16" s="338"/>
      <c r="AFG16" s="338"/>
      <c r="AFH16" s="338"/>
      <c r="AFI16" s="339"/>
      <c r="AFJ16" s="339"/>
      <c r="AFK16" s="339"/>
      <c r="AFL16" s="339"/>
      <c r="AFM16" s="339"/>
      <c r="AFN16" s="339"/>
      <c r="AFO16" s="339"/>
      <c r="AFP16" s="350" t="s">
        <v>1998</v>
      </c>
      <c r="AGC16" s="337"/>
      <c r="AGD16" s="338"/>
      <c r="AGE16" s="338" t="s">
        <v>1997</v>
      </c>
      <c r="AGF16" s="338">
        <v>1</v>
      </c>
      <c r="AGG16" s="338"/>
      <c r="AGH16" s="338"/>
      <c r="AGI16" s="338"/>
      <c r="AGJ16" s="338"/>
      <c r="AGK16" s="338"/>
      <c r="AGL16" s="338"/>
      <c r="AGM16" s="339"/>
      <c r="AGN16" s="339"/>
      <c r="AGO16" s="339"/>
      <c r="AGP16" s="339"/>
      <c r="AGQ16" s="339"/>
      <c r="AGR16" s="339"/>
      <c r="AGS16" s="339"/>
      <c r="AGT16" s="350" t="s">
        <v>1998</v>
      </c>
      <c r="AHG16" s="337"/>
      <c r="AHH16" s="338"/>
      <c r="AHI16" s="338" t="s">
        <v>1997</v>
      </c>
      <c r="AHJ16" s="338">
        <v>1</v>
      </c>
      <c r="AHK16" s="338"/>
      <c r="AHL16" s="338"/>
      <c r="AHM16" s="338"/>
      <c r="AHN16" s="338"/>
      <c r="AHO16" s="338"/>
      <c r="AHP16" s="338"/>
      <c r="AHQ16" s="339"/>
      <c r="AHR16" s="339"/>
      <c r="AHS16" s="339"/>
      <c r="AHT16" s="339"/>
      <c r="AHU16" s="339"/>
      <c r="AHV16" s="339"/>
      <c r="AHW16" s="339"/>
      <c r="AHX16" s="350" t="s">
        <v>1998</v>
      </c>
      <c r="AIK16" s="337"/>
      <c r="AIL16" s="338"/>
      <c r="AIM16" s="338" t="s">
        <v>1997</v>
      </c>
      <c r="AIN16" s="338">
        <v>1</v>
      </c>
      <c r="AIO16" s="338"/>
      <c r="AIP16" s="338"/>
      <c r="AIQ16" s="338"/>
      <c r="AIR16" s="338"/>
      <c r="AIS16" s="338"/>
      <c r="AIT16" s="338"/>
      <c r="AIU16" s="339"/>
      <c r="AIV16" s="339"/>
      <c r="AIW16" s="339"/>
      <c r="AIX16" s="339"/>
      <c r="AIY16" s="339"/>
      <c r="AIZ16" s="339"/>
      <c r="AJA16" s="339"/>
      <c r="AJB16" s="350" t="s">
        <v>1998</v>
      </c>
      <c r="AJO16" s="337"/>
      <c r="AJP16" s="338"/>
      <c r="AJQ16" s="338" t="s">
        <v>1997</v>
      </c>
      <c r="AJR16" s="338">
        <v>1</v>
      </c>
      <c r="AJS16" s="338"/>
      <c r="AJT16" s="338"/>
      <c r="AJU16" s="338"/>
      <c r="AJV16" s="338"/>
      <c r="AJW16" s="338"/>
      <c r="AJX16" s="338"/>
      <c r="AJY16" s="339"/>
      <c r="AJZ16" s="339"/>
      <c r="AKA16" s="339"/>
      <c r="AKB16" s="339"/>
      <c r="AKC16" s="339"/>
      <c r="AKD16" s="339"/>
      <c r="AKE16" s="339"/>
      <c r="AKF16" s="350" t="s">
        <v>1998</v>
      </c>
      <c r="AKS16" s="337"/>
      <c r="AKT16" s="338"/>
      <c r="AKU16" s="338" t="s">
        <v>1997</v>
      </c>
      <c r="AKV16" s="338">
        <v>1</v>
      </c>
      <c r="AKW16" s="338"/>
      <c r="AKX16" s="338"/>
      <c r="AKY16" s="338"/>
      <c r="AKZ16" s="338"/>
      <c r="ALA16" s="338"/>
      <c r="ALB16" s="338"/>
      <c r="ALC16" s="339"/>
      <c r="ALD16" s="339"/>
      <c r="ALE16" s="339"/>
      <c r="ALF16" s="339"/>
      <c r="ALG16" s="339"/>
      <c r="ALH16" s="339"/>
      <c r="ALI16" s="339"/>
      <c r="ALJ16" s="350" t="s">
        <v>1998</v>
      </c>
      <c r="ALW16" s="337"/>
      <c r="ALX16" s="338"/>
      <c r="ALY16" s="338" t="s">
        <v>1997</v>
      </c>
      <c r="ALZ16" s="338">
        <v>1</v>
      </c>
      <c r="AMA16" s="338"/>
      <c r="AMB16" s="338"/>
      <c r="AMC16" s="338"/>
      <c r="AMD16" s="338"/>
      <c r="AME16" s="338"/>
      <c r="AMF16" s="338"/>
      <c r="AMG16" s="335"/>
      <c r="AMH16" s="335"/>
      <c r="AMI16" s="335"/>
      <c r="AMJ16" s="335"/>
    </row>
    <row r="17" spans="1:1024" x14ac:dyDescent="0.2">
      <c r="H17" s="351"/>
      <c r="I17" s="351"/>
      <c r="J17" s="351"/>
      <c r="K17" s="351"/>
      <c r="L17" s="351"/>
      <c r="M17" s="352" t="s">
        <v>1999</v>
      </c>
      <c r="N17" s="352"/>
      <c r="O17" s="352"/>
      <c r="P17" s="353"/>
      <c r="Q17" s="353"/>
      <c r="R17" s="353"/>
      <c r="S17" s="353"/>
      <c r="T17" s="353"/>
      <c r="U17" s="337"/>
      <c r="V17" s="338"/>
      <c r="W17" s="338" t="s">
        <v>1997</v>
      </c>
      <c r="X17" s="338">
        <v>1</v>
      </c>
      <c r="Y17" s="338"/>
      <c r="Z17" s="338"/>
      <c r="AA17" s="338"/>
      <c r="AB17" s="338"/>
      <c r="AC17" s="338"/>
      <c r="AD17" s="338"/>
      <c r="AL17" s="351"/>
      <c r="AM17" s="351"/>
      <c r="AN17" s="351"/>
      <c r="AO17" s="351"/>
      <c r="AP17" s="351"/>
      <c r="AQ17" s="352" t="s">
        <v>1999</v>
      </c>
      <c r="AR17" s="352"/>
      <c r="AS17" s="352"/>
      <c r="AT17" s="353"/>
      <c r="AU17" s="353"/>
      <c r="AV17" s="353"/>
      <c r="AW17" s="353"/>
      <c r="AX17" s="353"/>
      <c r="AY17" s="337"/>
      <c r="AZ17" s="338"/>
      <c r="BA17" s="338" t="s">
        <v>1997</v>
      </c>
      <c r="BB17" s="338">
        <v>1</v>
      </c>
      <c r="BC17" s="338"/>
      <c r="BD17" s="338"/>
      <c r="BE17" s="338"/>
      <c r="BF17" s="338"/>
      <c r="BG17" s="338"/>
      <c r="BH17" s="338"/>
      <c r="BP17" s="351"/>
      <c r="BQ17" s="351"/>
      <c r="BR17" s="351"/>
      <c r="BS17" s="351"/>
      <c r="BT17" s="351"/>
      <c r="BU17" s="352" t="s">
        <v>1999</v>
      </c>
      <c r="BV17" s="352"/>
      <c r="BW17" s="352"/>
      <c r="BX17" s="353"/>
      <c r="BY17" s="353"/>
      <c r="BZ17" s="353"/>
      <c r="CA17" s="353"/>
      <c r="CB17" s="353"/>
      <c r="CC17" s="337"/>
      <c r="CD17" s="338"/>
      <c r="CE17" s="338" t="s">
        <v>1997</v>
      </c>
      <c r="CF17" s="338">
        <v>1</v>
      </c>
      <c r="CG17" s="338"/>
      <c r="CH17" s="338"/>
      <c r="CI17" s="338"/>
      <c r="CJ17" s="338"/>
      <c r="CK17" s="338"/>
      <c r="CL17" s="338"/>
      <c r="CT17" s="351"/>
      <c r="CU17" s="351"/>
      <c r="CV17" s="351"/>
      <c r="CW17" s="351"/>
      <c r="CX17" s="351"/>
      <c r="CY17" s="352" t="s">
        <v>1999</v>
      </c>
      <c r="CZ17" s="352"/>
      <c r="DA17" s="352"/>
      <c r="DB17" s="353"/>
      <c r="DC17" s="353"/>
      <c r="DD17" s="353"/>
      <c r="DE17" s="353"/>
      <c r="DF17" s="353"/>
      <c r="DG17" s="337"/>
      <c r="DH17" s="338"/>
      <c r="DI17" s="338" t="s">
        <v>1997</v>
      </c>
      <c r="DJ17" s="338">
        <v>1</v>
      </c>
      <c r="DK17" s="338"/>
      <c r="DL17" s="338"/>
      <c r="DM17" s="338"/>
      <c r="DN17" s="338"/>
      <c r="DO17" s="338"/>
      <c r="DP17" s="338"/>
      <c r="DX17" s="351"/>
      <c r="DY17" s="351"/>
      <c r="DZ17" s="351"/>
      <c r="EA17" s="351"/>
      <c r="EB17" s="351"/>
      <c r="EC17" s="352" t="s">
        <v>1999</v>
      </c>
      <c r="ED17" s="352"/>
      <c r="EE17" s="352"/>
      <c r="EF17" s="353"/>
      <c r="EG17" s="353"/>
      <c r="EH17" s="353"/>
      <c r="EI17" s="353"/>
      <c r="EJ17" s="353"/>
      <c r="EK17" s="337"/>
      <c r="EL17" s="338"/>
      <c r="EM17" s="338" t="s">
        <v>1997</v>
      </c>
      <c r="EN17" s="338">
        <v>1</v>
      </c>
      <c r="EO17" s="338"/>
      <c r="EP17" s="338"/>
      <c r="EQ17" s="338"/>
      <c r="ER17" s="338"/>
      <c r="ES17" s="338"/>
      <c r="ET17" s="338"/>
      <c r="FB17" s="351"/>
      <c r="FC17" s="351"/>
      <c r="FD17" s="351"/>
      <c r="FE17" s="351"/>
      <c r="FF17" s="351"/>
      <c r="FG17" s="352" t="s">
        <v>1999</v>
      </c>
      <c r="FH17" s="352"/>
      <c r="FI17" s="352"/>
      <c r="FJ17" s="353"/>
      <c r="FK17" s="353"/>
      <c r="FL17" s="353"/>
      <c r="FM17" s="353"/>
      <c r="FN17" s="353"/>
      <c r="FO17" s="337"/>
      <c r="FP17" s="338"/>
      <c r="FQ17" s="338" t="s">
        <v>1997</v>
      </c>
      <c r="FR17" s="338">
        <v>1</v>
      </c>
      <c r="FS17" s="338"/>
      <c r="FT17" s="338"/>
      <c r="FU17" s="338"/>
      <c r="FV17" s="338"/>
      <c r="FW17" s="338"/>
      <c r="FX17" s="338"/>
      <c r="GF17" s="351"/>
      <c r="GG17" s="351"/>
      <c r="GH17" s="351"/>
      <c r="GI17" s="351"/>
      <c r="GJ17" s="351"/>
      <c r="GK17" s="352" t="s">
        <v>1999</v>
      </c>
      <c r="GL17" s="352"/>
      <c r="GM17" s="352"/>
      <c r="GN17" s="353"/>
      <c r="GO17" s="353"/>
      <c r="GP17" s="353"/>
      <c r="GQ17" s="353"/>
      <c r="GR17" s="353"/>
      <c r="GS17" s="337"/>
      <c r="GT17" s="338"/>
      <c r="GU17" s="338" t="s">
        <v>1997</v>
      </c>
      <c r="GV17" s="338">
        <v>1</v>
      </c>
      <c r="GW17" s="338"/>
      <c r="GX17" s="338"/>
      <c r="GY17" s="338"/>
      <c r="GZ17" s="338"/>
      <c r="HA17" s="338"/>
      <c r="HB17" s="338"/>
      <c r="HJ17" s="351"/>
      <c r="HK17" s="351"/>
      <c r="HL17" s="351"/>
      <c r="HM17" s="351"/>
      <c r="HN17" s="351"/>
      <c r="HO17" s="352" t="s">
        <v>1999</v>
      </c>
      <c r="HP17" s="352"/>
      <c r="HQ17" s="352"/>
      <c r="HR17" s="353"/>
      <c r="HS17" s="353"/>
      <c r="HT17" s="353"/>
      <c r="HU17" s="353"/>
      <c r="HV17" s="353"/>
      <c r="HW17" s="337"/>
      <c r="HX17" s="338"/>
      <c r="HY17" s="338" t="s">
        <v>1997</v>
      </c>
      <c r="HZ17" s="338">
        <v>1</v>
      </c>
      <c r="IA17" s="338"/>
      <c r="IB17" s="338"/>
      <c r="IC17" s="338"/>
      <c r="ID17" s="338"/>
      <c r="IE17" s="338"/>
      <c r="IF17" s="338"/>
      <c r="IN17" s="351"/>
      <c r="IO17" s="351"/>
      <c r="IP17" s="351"/>
      <c r="IQ17" s="351"/>
      <c r="IR17" s="351"/>
      <c r="IS17" s="352" t="s">
        <v>1999</v>
      </c>
      <c r="IT17" s="352"/>
      <c r="IU17" s="352"/>
      <c r="IV17" s="353"/>
      <c r="IW17" s="353"/>
      <c r="IX17" s="353"/>
      <c r="IY17" s="353"/>
      <c r="IZ17" s="353"/>
      <c r="JA17" s="337"/>
      <c r="JB17" s="338"/>
      <c r="JC17" s="338" t="s">
        <v>1997</v>
      </c>
      <c r="JD17" s="338">
        <v>1</v>
      </c>
      <c r="JE17" s="338"/>
      <c r="JF17" s="338"/>
      <c r="JG17" s="338"/>
      <c r="JH17" s="338"/>
      <c r="JI17" s="338"/>
      <c r="JJ17" s="338"/>
      <c r="JR17" s="351"/>
      <c r="JS17" s="351"/>
      <c r="JT17" s="351"/>
      <c r="JU17" s="351"/>
      <c r="JV17" s="351"/>
      <c r="JW17" s="352" t="s">
        <v>1999</v>
      </c>
      <c r="JX17" s="352"/>
      <c r="JY17" s="352"/>
      <c r="JZ17" s="353"/>
      <c r="KA17" s="353"/>
      <c r="KB17" s="353"/>
      <c r="KC17" s="353"/>
      <c r="KD17" s="353"/>
      <c r="KE17" s="337"/>
      <c r="KF17" s="338"/>
      <c r="KG17" s="338" t="s">
        <v>1997</v>
      </c>
      <c r="KH17" s="338">
        <v>1</v>
      </c>
      <c r="KI17" s="338"/>
      <c r="KJ17" s="338"/>
      <c r="KK17" s="338"/>
      <c r="KL17" s="338"/>
      <c r="KM17" s="338"/>
      <c r="KN17" s="338"/>
      <c r="KV17" s="351"/>
      <c r="KW17" s="351"/>
      <c r="KX17" s="351"/>
      <c r="KY17" s="351"/>
      <c r="KZ17" s="351"/>
      <c r="LA17" s="352" t="s">
        <v>1999</v>
      </c>
      <c r="LB17" s="352"/>
      <c r="LC17" s="352"/>
      <c r="LD17" s="353"/>
      <c r="LE17" s="353"/>
      <c r="LF17" s="353"/>
      <c r="LG17" s="353"/>
      <c r="LH17" s="353"/>
      <c r="LI17" s="337"/>
      <c r="LJ17" s="338"/>
      <c r="LK17" s="338" t="s">
        <v>1997</v>
      </c>
      <c r="LL17" s="338">
        <v>1</v>
      </c>
      <c r="LM17" s="338"/>
      <c r="LN17" s="338"/>
      <c r="LO17" s="338"/>
      <c r="LP17" s="338"/>
      <c r="LQ17" s="338"/>
      <c r="LR17" s="338"/>
      <c r="LZ17" s="351"/>
      <c r="MA17" s="351"/>
      <c r="MB17" s="351"/>
      <c r="MC17" s="351"/>
      <c r="MD17" s="351"/>
      <c r="ME17" s="352" t="s">
        <v>1999</v>
      </c>
      <c r="MF17" s="352"/>
      <c r="MG17" s="352"/>
      <c r="MH17" s="353"/>
      <c r="MI17" s="353"/>
      <c r="MJ17" s="353"/>
      <c r="MK17" s="353"/>
      <c r="ML17" s="353"/>
      <c r="MM17" s="337"/>
      <c r="MN17" s="338"/>
      <c r="MO17" s="338" t="s">
        <v>1997</v>
      </c>
      <c r="MP17" s="338">
        <v>1</v>
      </c>
      <c r="MQ17" s="338"/>
      <c r="MR17" s="338"/>
      <c r="MS17" s="338"/>
      <c r="MT17" s="338"/>
      <c r="MU17" s="338"/>
      <c r="MV17" s="338"/>
      <c r="ND17" s="351"/>
      <c r="NE17" s="351"/>
      <c r="NF17" s="351"/>
      <c r="NG17" s="351"/>
      <c r="NH17" s="351"/>
      <c r="NI17" s="352" t="s">
        <v>1999</v>
      </c>
      <c r="NJ17" s="352"/>
      <c r="NK17" s="352"/>
      <c r="NL17" s="353"/>
      <c r="NM17" s="353"/>
      <c r="NN17" s="353"/>
      <c r="NO17" s="353"/>
      <c r="NP17" s="353"/>
      <c r="NQ17" s="337"/>
      <c r="NR17" s="338"/>
      <c r="NS17" s="338" t="s">
        <v>1997</v>
      </c>
      <c r="NT17" s="338">
        <v>1</v>
      </c>
      <c r="NU17" s="338"/>
      <c r="NV17" s="338"/>
      <c r="NW17" s="338"/>
      <c r="NX17" s="338"/>
      <c r="NY17" s="338"/>
      <c r="NZ17" s="338"/>
      <c r="OH17" s="351"/>
      <c r="OI17" s="351"/>
      <c r="OJ17" s="351"/>
      <c r="OK17" s="351"/>
      <c r="OL17" s="351"/>
      <c r="OM17" s="352" t="s">
        <v>1999</v>
      </c>
      <c r="ON17" s="352"/>
      <c r="OO17" s="352"/>
      <c r="OP17" s="353"/>
      <c r="OQ17" s="353"/>
      <c r="OR17" s="353"/>
      <c r="OS17" s="353"/>
      <c r="OT17" s="353"/>
      <c r="OU17" s="337"/>
      <c r="OV17" s="338"/>
      <c r="OW17" s="338" t="s">
        <v>1997</v>
      </c>
      <c r="OX17" s="338">
        <v>1</v>
      </c>
      <c r="OY17" s="338"/>
      <c r="OZ17" s="338"/>
      <c r="PA17" s="338"/>
      <c r="PB17" s="338"/>
      <c r="PC17" s="338"/>
      <c r="PD17" s="338"/>
      <c r="PL17" s="351"/>
      <c r="PM17" s="351"/>
      <c r="PN17" s="351"/>
      <c r="PO17" s="351"/>
      <c r="PP17" s="351"/>
      <c r="PQ17" s="352" t="s">
        <v>1999</v>
      </c>
      <c r="PR17" s="352"/>
      <c r="PS17" s="352"/>
      <c r="PT17" s="353"/>
      <c r="PU17" s="353"/>
      <c r="PV17" s="353"/>
      <c r="PW17" s="353"/>
      <c r="PX17" s="353"/>
      <c r="PY17" s="337"/>
      <c r="PZ17" s="338"/>
      <c r="QA17" s="338" t="s">
        <v>1997</v>
      </c>
      <c r="QB17" s="338">
        <v>1</v>
      </c>
      <c r="QC17" s="338"/>
      <c r="QD17" s="338"/>
      <c r="QE17" s="338"/>
      <c r="QF17" s="338"/>
      <c r="QG17" s="338"/>
      <c r="QH17" s="338"/>
      <c r="QP17" s="351"/>
      <c r="QQ17" s="351"/>
      <c r="QR17" s="351"/>
      <c r="QS17" s="351"/>
      <c r="QT17" s="351"/>
      <c r="QU17" s="352" t="s">
        <v>1999</v>
      </c>
      <c r="QV17" s="352"/>
      <c r="QW17" s="352"/>
      <c r="QX17" s="353"/>
      <c r="QY17" s="353"/>
      <c r="QZ17" s="353"/>
      <c r="RA17" s="353"/>
      <c r="RB17" s="353"/>
      <c r="RC17" s="337"/>
      <c r="RD17" s="338"/>
      <c r="RE17" s="338" t="s">
        <v>1997</v>
      </c>
      <c r="RF17" s="338">
        <v>1</v>
      </c>
      <c r="RG17" s="338"/>
      <c r="RH17" s="338"/>
      <c r="RI17" s="338"/>
      <c r="RJ17" s="338"/>
      <c r="RK17" s="338"/>
      <c r="RL17" s="338"/>
      <c r="RT17" s="351"/>
      <c r="RU17" s="351"/>
      <c r="RV17" s="351"/>
      <c r="RW17" s="351"/>
      <c r="RX17" s="351"/>
      <c r="RY17" s="352" t="s">
        <v>1999</v>
      </c>
      <c r="RZ17" s="352"/>
      <c r="SA17" s="352"/>
      <c r="SB17" s="353"/>
      <c r="SC17" s="353"/>
      <c r="SD17" s="353"/>
      <c r="SE17" s="353"/>
      <c r="SF17" s="353"/>
      <c r="SG17" s="337"/>
      <c r="SH17" s="338"/>
      <c r="SI17" s="338" t="s">
        <v>1997</v>
      </c>
      <c r="SJ17" s="338">
        <v>1</v>
      </c>
      <c r="SK17" s="338"/>
      <c r="SL17" s="338"/>
      <c r="SM17" s="338"/>
      <c r="SN17" s="338"/>
      <c r="SO17" s="338"/>
      <c r="SP17" s="338"/>
      <c r="SX17" s="351"/>
      <c r="SY17" s="351"/>
      <c r="SZ17" s="351"/>
      <c r="TA17" s="351"/>
      <c r="TB17" s="351"/>
      <c r="TC17" s="352" t="s">
        <v>1999</v>
      </c>
      <c r="TD17" s="352"/>
      <c r="TE17" s="352"/>
      <c r="TF17" s="353"/>
      <c r="TG17" s="353"/>
      <c r="TH17" s="353"/>
      <c r="TI17" s="353"/>
      <c r="TJ17" s="353"/>
      <c r="TK17" s="337"/>
      <c r="TL17" s="338"/>
      <c r="TM17" s="338" t="s">
        <v>1997</v>
      </c>
      <c r="TN17" s="338">
        <v>1</v>
      </c>
      <c r="TO17" s="338"/>
      <c r="TP17" s="338"/>
      <c r="TQ17" s="338"/>
      <c r="TR17" s="338"/>
      <c r="TS17" s="338"/>
      <c r="TT17" s="338"/>
      <c r="UB17" s="351"/>
      <c r="UC17" s="351"/>
      <c r="UD17" s="351"/>
      <c r="UE17" s="351"/>
      <c r="UF17" s="351"/>
      <c r="UG17" s="352" t="s">
        <v>1999</v>
      </c>
      <c r="UH17" s="352"/>
      <c r="UI17" s="352"/>
      <c r="UJ17" s="353"/>
      <c r="UK17" s="353"/>
      <c r="UL17" s="353"/>
      <c r="UM17" s="353"/>
      <c r="UN17" s="353"/>
      <c r="UO17" s="337"/>
      <c r="UP17" s="338"/>
      <c r="UQ17" s="338" t="s">
        <v>1997</v>
      </c>
      <c r="UR17" s="338">
        <v>1</v>
      </c>
      <c r="US17" s="338"/>
      <c r="UT17" s="338"/>
      <c r="UU17" s="338"/>
      <c r="UV17" s="338"/>
      <c r="UW17" s="338"/>
      <c r="UX17" s="338"/>
      <c r="VF17" s="351"/>
      <c r="VG17" s="351"/>
      <c r="VH17" s="351"/>
      <c r="VI17" s="351"/>
      <c r="VJ17" s="351"/>
      <c r="VK17" s="352" t="s">
        <v>1999</v>
      </c>
      <c r="VL17" s="352"/>
      <c r="VM17" s="352"/>
      <c r="VN17" s="353"/>
      <c r="VO17" s="353"/>
      <c r="VP17" s="353"/>
      <c r="VQ17" s="353"/>
      <c r="VR17" s="353"/>
      <c r="VS17" s="337"/>
      <c r="VT17" s="338"/>
      <c r="VU17" s="338" t="s">
        <v>1997</v>
      </c>
      <c r="VV17" s="338">
        <v>1</v>
      </c>
      <c r="VW17" s="338"/>
      <c r="VX17" s="338"/>
      <c r="VY17" s="338"/>
      <c r="VZ17" s="338"/>
      <c r="WA17" s="338"/>
      <c r="WB17" s="338"/>
      <c r="WJ17" s="351"/>
      <c r="WK17" s="351"/>
      <c r="WL17" s="351"/>
      <c r="WM17" s="351"/>
      <c r="WN17" s="351"/>
      <c r="WO17" s="352" t="s">
        <v>1999</v>
      </c>
      <c r="WP17" s="352"/>
      <c r="WQ17" s="352"/>
      <c r="WR17" s="353"/>
      <c r="WS17" s="353"/>
      <c r="WT17" s="353"/>
      <c r="WU17" s="353"/>
      <c r="WV17" s="353"/>
      <c r="WW17" s="337"/>
      <c r="WX17" s="338"/>
      <c r="WY17" s="338" t="s">
        <v>1997</v>
      </c>
      <c r="WZ17" s="338">
        <v>1</v>
      </c>
      <c r="XA17" s="338"/>
      <c r="XB17" s="338"/>
      <c r="XC17" s="338"/>
      <c r="XD17" s="338"/>
      <c r="XE17" s="338"/>
      <c r="XF17" s="338"/>
      <c r="XN17" s="351"/>
      <c r="XO17" s="351"/>
      <c r="XP17" s="351"/>
      <c r="XQ17" s="351"/>
      <c r="XR17" s="351"/>
      <c r="XS17" s="352" t="s">
        <v>1999</v>
      </c>
      <c r="XT17" s="352"/>
      <c r="XU17" s="352"/>
      <c r="XV17" s="353"/>
      <c r="XW17" s="353"/>
      <c r="XX17" s="353"/>
      <c r="XY17" s="353"/>
      <c r="XZ17" s="353"/>
      <c r="YA17" s="337"/>
      <c r="YB17" s="338"/>
      <c r="YC17" s="338" t="s">
        <v>1997</v>
      </c>
      <c r="YD17" s="338">
        <v>1</v>
      </c>
      <c r="YE17" s="338"/>
      <c r="YF17" s="338"/>
      <c r="YG17" s="338"/>
      <c r="YH17" s="338"/>
      <c r="YI17" s="338"/>
      <c r="YJ17" s="338"/>
      <c r="YR17" s="351"/>
      <c r="YS17" s="351"/>
      <c r="YT17" s="351"/>
      <c r="YU17" s="351"/>
      <c r="YV17" s="351"/>
      <c r="YW17" s="352" t="s">
        <v>1999</v>
      </c>
      <c r="YX17" s="352"/>
      <c r="YY17" s="352"/>
      <c r="YZ17" s="353"/>
      <c r="ZA17" s="353"/>
      <c r="ZB17" s="353"/>
      <c r="ZC17" s="353"/>
      <c r="ZD17" s="353"/>
      <c r="ZE17" s="337"/>
      <c r="ZF17" s="338"/>
      <c r="ZG17" s="338" t="s">
        <v>1997</v>
      </c>
      <c r="ZH17" s="338">
        <v>1</v>
      </c>
      <c r="ZI17" s="338"/>
      <c r="ZJ17" s="338"/>
      <c r="ZK17" s="338"/>
      <c r="ZL17" s="338"/>
      <c r="ZM17" s="338"/>
      <c r="ZN17" s="338"/>
      <c r="ZV17" s="351"/>
      <c r="ZW17" s="351"/>
      <c r="ZX17" s="351"/>
      <c r="ZY17" s="351"/>
      <c r="ZZ17" s="351"/>
      <c r="AAA17" s="352" t="s">
        <v>1999</v>
      </c>
      <c r="AAB17" s="352"/>
      <c r="AAC17" s="352"/>
      <c r="AAD17" s="353"/>
      <c r="AAE17" s="353"/>
      <c r="AAF17" s="353"/>
      <c r="AAG17" s="353"/>
      <c r="AAH17" s="353"/>
      <c r="AAI17" s="337"/>
      <c r="AAJ17" s="338"/>
      <c r="AAK17" s="338" t="s">
        <v>1997</v>
      </c>
      <c r="AAL17" s="338">
        <v>1</v>
      </c>
      <c r="AAM17" s="338"/>
      <c r="AAN17" s="338"/>
      <c r="AAO17" s="338"/>
      <c r="AAP17" s="338"/>
      <c r="AAQ17" s="338"/>
      <c r="AAR17" s="338"/>
      <c r="AAZ17" s="351"/>
      <c r="ABA17" s="351"/>
      <c r="ABB17" s="351"/>
      <c r="ABC17" s="351"/>
      <c r="ABD17" s="351"/>
      <c r="ABE17" s="352" t="s">
        <v>1999</v>
      </c>
      <c r="ABF17" s="352"/>
      <c r="ABG17" s="352"/>
      <c r="ABH17" s="353"/>
      <c r="ABI17" s="353"/>
      <c r="ABJ17" s="353"/>
      <c r="ABK17" s="353"/>
      <c r="ABL17" s="353"/>
      <c r="ABM17" s="337"/>
      <c r="ABN17" s="338"/>
      <c r="ABO17" s="338" t="s">
        <v>1997</v>
      </c>
      <c r="ABP17" s="338">
        <v>1</v>
      </c>
      <c r="ABQ17" s="338"/>
      <c r="ABR17" s="338"/>
      <c r="ABS17" s="338"/>
      <c r="ABT17" s="338"/>
      <c r="ABU17" s="338"/>
      <c r="ABV17" s="338"/>
      <c r="ACD17" s="351"/>
      <c r="ACE17" s="351"/>
      <c r="ACF17" s="351"/>
      <c r="ACG17" s="351"/>
      <c r="ACH17" s="351"/>
      <c r="ACI17" s="352" t="s">
        <v>1999</v>
      </c>
      <c r="ACJ17" s="352"/>
      <c r="ACK17" s="352"/>
      <c r="ACL17" s="353"/>
      <c r="ACM17" s="353"/>
      <c r="ACN17" s="353"/>
      <c r="ACO17" s="353"/>
      <c r="ACP17" s="353"/>
      <c r="ACQ17" s="337"/>
      <c r="ACR17" s="338"/>
      <c r="ACS17" s="338" t="s">
        <v>1997</v>
      </c>
      <c r="ACT17" s="338">
        <v>1</v>
      </c>
      <c r="ACU17" s="338"/>
      <c r="ACV17" s="338"/>
      <c r="ACW17" s="338"/>
      <c r="ACX17" s="338"/>
      <c r="ACY17" s="338"/>
      <c r="ACZ17" s="338"/>
      <c r="ADH17" s="351"/>
      <c r="ADI17" s="351"/>
      <c r="ADJ17" s="351"/>
      <c r="ADK17" s="351"/>
      <c r="ADL17" s="351"/>
      <c r="ADM17" s="352" t="s">
        <v>1999</v>
      </c>
      <c r="ADN17" s="352"/>
      <c r="ADO17" s="352"/>
      <c r="ADP17" s="353"/>
      <c r="ADQ17" s="353"/>
      <c r="ADR17" s="353"/>
      <c r="ADS17" s="353"/>
      <c r="ADT17" s="353"/>
      <c r="ADU17" s="337"/>
      <c r="ADV17" s="338"/>
      <c r="ADW17" s="338" t="s">
        <v>1997</v>
      </c>
      <c r="ADX17" s="338">
        <v>1</v>
      </c>
      <c r="ADY17" s="338"/>
      <c r="ADZ17" s="338"/>
      <c r="AEA17" s="338"/>
      <c r="AEB17" s="338"/>
      <c r="AEC17" s="338"/>
      <c r="AED17" s="338"/>
      <c r="AEL17" s="351"/>
      <c r="AEM17" s="351"/>
      <c r="AEN17" s="351"/>
      <c r="AEO17" s="351"/>
      <c r="AEP17" s="351"/>
      <c r="AEQ17" s="352" t="s">
        <v>1999</v>
      </c>
      <c r="AER17" s="352"/>
      <c r="AES17" s="352"/>
      <c r="AET17" s="353"/>
      <c r="AEU17" s="353"/>
      <c r="AEV17" s="353"/>
      <c r="AEW17" s="353"/>
      <c r="AEX17" s="353"/>
      <c r="AEY17" s="337"/>
      <c r="AEZ17" s="338"/>
      <c r="AFA17" s="338" t="s">
        <v>1997</v>
      </c>
      <c r="AFB17" s="338">
        <v>1</v>
      </c>
      <c r="AFC17" s="338"/>
      <c r="AFD17" s="338"/>
      <c r="AFE17" s="338"/>
      <c r="AFF17" s="338"/>
      <c r="AFG17" s="338"/>
      <c r="AFH17" s="338"/>
      <c r="AFP17" s="351"/>
      <c r="AFQ17" s="351"/>
      <c r="AFR17" s="351"/>
      <c r="AFS17" s="351"/>
      <c r="AFT17" s="351"/>
      <c r="AFU17" s="352" t="s">
        <v>1999</v>
      </c>
      <c r="AFV17" s="352"/>
      <c r="AFW17" s="352"/>
      <c r="AFX17" s="353"/>
      <c r="AFY17" s="353"/>
      <c r="AFZ17" s="353"/>
      <c r="AGA17" s="353"/>
      <c r="AGB17" s="353"/>
      <c r="AGC17" s="337"/>
      <c r="AGD17" s="338"/>
      <c r="AGE17" s="338" t="s">
        <v>1997</v>
      </c>
      <c r="AGF17" s="338">
        <v>1</v>
      </c>
      <c r="AGG17" s="338"/>
      <c r="AGH17" s="338"/>
      <c r="AGI17" s="338"/>
      <c r="AGJ17" s="338"/>
      <c r="AGK17" s="338"/>
      <c r="AGL17" s="338"/>
      <c r="AGT17" s="351"/>
      <c r="AGU17" s="351"/>
      <c r="AGV17" s="351"/>
      <c r="AGW17" s="351"/>
      <c r="AGX17" s="351"/>
      <c r="AGY17" s="352" t="s">
        <v>1999</v>
      </c>
      <c r="AGZ17" s="352"/>
      <c r="AHA17" s="352"/>
      <c r="AHB17" s="353"/>
      <c r="AHC17" s="353"/>
      <c r="AHD17" s="353"/>
      <c r="AHE17" s="353"/>
      <c r="AHF17" s="353"/>
      <c r="AHG17" s="337"/>
      <c r="AHH17" s="338"/>
      <c r="AHI17" s="338" t="s">
        <v>1997</v>
      </c>
      <c r="AHJ17" s="338">
        <v>1</v>
      </c>
      <c r="AHK17" s="338"/>
      <c r="AHL17" s="338"/>
      <c r="AHM17" s="338"/>
      <c r="AHN17" s="338"/>
      <c r="AHO17" s="338"/>
      <c r="AHP17" s="338"/>
      <c r="AHX17" s="351"/>
      <c r="AHY17" s="351"/>
      <c r="AHZ17" s="351"/>
      <c r="AIA17" s="351"/>
      <c r="AIB17" s="351"/>
      <c r="AIC17" s="352" t="s">
        <v>1999</v>
      </c>
      <c r="AID17" s="352"/>
      <c r="AIE17" s="352"/>
      <c r="AIF17" s="353"/>
      <c r="AIG17" s="353"/>
      <c r="AIH17" s="353"/>
      <c r="AII17" s="353"/>
      <c r="AIJ17" s="353"/>
      <c r="AIK17" s="337"/>
      <c r="AIL17" s="338"/>
      <c r="AIM17" s="338" t="s">
        <v>1997</v>
      </c>
      <c r="AIN17" s="338">
        <v>1</v>
      </c>
      <c r="AIO17" s="338"/>
      <c r="AIP17" s="338"/>
      <c r="AIQ17" s="338"/>
      <c r="AIR17" s="338"/>
      <c r="AIS17" s="338"/>
      <c r="AIT17" s="338"/>
      <c r="AJB17" s="351"/>
      <c r="AJC17" s="351"/>
      <c r="AJD17" s="351"/>
      <c r="AJE17" s="351"/>
      <c r="AJF17" s="351"/>
      <c r="AJG17" s="352" t="s">
        <v>1999</v>
      </c>
      <c r="AJH17" s="352"/>
      <c r="AJI17" s="352"/>
      <c r="AJJ17" s="353"/>
      <c r="AJK17" s="353"/>
      <c r="AJL17" s="353"/>
      <c r="AJM17" s="353"/>
      <c r="AJN17" s="353"/>
      <c r="AJO17" s="337"/>
      <c r="AJP17" s="338"/>
      <c r="AJQ17" s="338" t="s">
        <v>1997</v>
      </c>
      <c r="AJR17" s="338">
        <v>1</v>
      </c>
      <c r="AJS17" s="338"/>
      <c r="AJT17" s="338"/>
      <c r="AJU17" s="338"/>
      <c r="AJV17" s="338"/>
      <c r="AJW17" s="338"/>
      <c r="AJX17" s="338"/>
      <c r="AKF17" s="351"/>
      <c r="AKG17" s="351"/>
      <c r="AKH17" s="351"/>
      <c r="AKI17" s="351"/>
      <c r="AKJ17" s="351"/>
      <c r="AKK17" s="352" t="s">
        <v>1999</v>
      </c>
      <c r="AKL17" s="352"/>
      <c r="AKM17" s="352"/>
      <c r="AKN17" s="353"/>
      <c r="AKO17" s="353"/>
      <c r="AKP17" s="353"/>
      <c r="AKQ17" s="353"/>
      <c r="AKR17" s="353"/>
      <c r="AKS17" s="337"/>
      <c r="AKT17" s="338"/>
      <c r="AKU17" s="338" t="s">
        <v>1997</v>
      </c>
      <c r="AKV17" s="338">
        <v>1</v>
      </c>
      <c r="AKW17" s="338"/>
      <c r="AKX17" s="338"/>
      <c r="AKY17" s="338"/>
      <c r="AKZ17" s="338"/>
      <c r="ALA17" s="338"/>
      <c r="ALB17" s="338"/>
      <c r="ALJ17" s="351"/>
      <c r="ALK17" s="351"/>
      <c r="ALL17" s="351"/>
      <c r="ALM17" s="351"/>
      <c r="ALN17" s="351"/>
      <c r="ALO17" s="352" t="s">
        <v>1999</v>
      </c>
      <c r="ALP17" s="352"/>
      <c r="ALQ17" s="352"/>
      <c r="ALR17" s="353"/>
      <c r="ALS17" s="353"/>
      <c r="ALT17" s="353"/>
      <c r="ALU17" s="353"/>
      <c r="ALV17" s="353"/>
      <c r="ALW17" s="337"/>
      <c r="ALX17" s="338"/>
      <c r="ALY17" s="338" t="s">
        <v>1997</v>
      </c>
      <c r="ALZ17" s="338">
        <v>1</v>
      </c>
      <c r="AMA17" s="338"/>
      <c r="AMB17" s="338"/>
      <c r="AMC17" s="338"/>
      <c r="AMD17" s="338"/>
      <c r="AME17" s="338"/>
      <c r="AMF17" s="338"/>
      <c r="AMG17" s="354"/>
      <c r="AMH17" s="354"/>
      <c r="AMI17" s="354"/>
      <c r="AMJ17" s="354"/>
    </row>
    <row r="18" spans="1:1024" x14ac:dyDescent="0.2">
      <c r="A18" s="355" t="s">
        <v>2000</v>
      </c>
      <c r="B18" s="355"/>
      <c r="C18" s="355"/>
      <c r="D18" s="355"/>
      <c r="E18" s="355"/>
      <c r="F18" s="355"/>
      <c r="G18" s="355"/>
      <c r="H18" s="351"/>
      <c r="I18" s="351"/>
      <c r="J18" s="351"/>
      <c r="K18" s="351"/>
      <c r="L18" s="351"/>
      <c r="M18" s="352" t="s">
        <v>2001</v>
      </c>
      <c r="N18" s="352"/>
      <c r="O18" s="352"/>
      <c r="P18" s="353"/>
      <c r="Q18" s="353"/>
      <c r="R18" s="353"/>
      <c r="S18" s="353"/>
      <c r="T18" s="353"/>
      <c r="U18" s="337"/>
      <c r="W18" s="338" t="s">
        <v>1997</v>
      </c>
      <c r="X18" s="338">
        <v>1</v>
      </c>
      <c r="AE18" s="355" t="s">
        <v>2000</v>
      </c>
      <c r="AF18" s="355"/>
      <c r="AG18" s="355"/>
      <c r="AH18" s="355"/>
      <c r="AI18" s="355"/>
      <c r="AJ18" s="355"/>
      <c r="AK18" s="355"/>
      <c r="AL18" s="351"/>
      <c r="AM18" s="351"/>
      <c r="AN18" s="351"/>
      <c r="AO18" s="351"/>
      <c r="AP18" s="351"/>
      <c r="AQ18" s="352" t="s">
        <v>2001</v>
      </c>
      <c r="AR18" s="352"/>
      <c r="AS18" s="352"/>
      <c r="AT18" s="353"/>
      <c r="AU18" s="353"/>
      <c r="AV18" s="353"/>
      <c r="AW18" s="353"/>
      <c r="AX18" s="353"/>
      <c r="AY18" s="337"/>
      <c r="BA18" s="338" t="s">
        <v>1997</v>
      </c>
      <c r="BB18" s="338">
        <v>1</v>
      </c>
      <c r="BI18" s="355" t="s">
        <v>2000</v>
      </c>
      <c r="BJ18" s="355"/>
      <c r="BK18" s="355"/>
      <c r="BL18" s="355"/>
      <c r="BM18" s="355"/>
      <c r="BN18" s="355"/>
      <c r="BO18" s="355"/>
      <c r="BP18" s="351"/>
      <c r="BQ18" s="351"/>
      <c r="BR18" s="351"/>
      <c r="BS18" s="351"/>
      <c r="BT18" s="351"/>
      <c r="BU18" s="352" t="s">
        <v>2001</v>
      </c>
      <c r="BV18" s="352"/>
      <c r="BW18" s="352"/>
      <c r="BX18" s="353"/>
      <c r="BY18" s="353"/>
      <c r="BZ18" s="353"/>
      <c r="CA18" s="353"/>
      <c r="CB18" s="353"/>
      <c r="CC18" s="337"/>
      <c r="CE18" s="338" t="s">
        <v>1997</v>
      </c>
      <c r="CF18" s="338">
        <v>1</v>
      </c>
      <c r="CM18" s="355" t="s">
        <v>2000</v>
      </c>
      <c r="CN18" s="355"/>
      <c r="CO18" s="355"/>
      <c r="CP18" s="355"/>
      <c r="CQ18" s="355"/>
      <c r="CR18" s="355"/>
      <c r="CS18" s="355"/>
      <c r="CT18" s="351"/>
      <c r="CU18" s="351"/>
      <c r="CV18" s="351"/>
      <c r="CW18" s="351"/>
      <c r="CX18" s="351"/>
      <c r="CY18" s="352" t="s">
        <v>2001</v>
      </c>
      <c r="CZ18" s="352"/>
      <c r="DA18" s="352"/>
      <c r="DB18" s="353"/>
      <c r="DC18" s="353"/>
      <c r="DD18" s="353"/>
      <c r="DE18" s="353"/>
      <c r="DF18" s="353"/>
      <c r="DG18" s="337"/>
      <c r="DI18" s="338" t="s">
        <v>1997</v>
      </c>
      <c r="DJ18" s="338">
        <v>1</v>
      </c>
      <c r="DQ18" s="355" t="s">
        <v>2000</v>
      </c>
      <c r="DR18" s="355"/>
      <c r="DS18" s="355"/>
      <c r="DT18" s="355"/>
      <c r="DU18" s="355"/>
      <c r="DV18" s="355"/>
      <c r="DW18" s="355"/>
      <c r="DX18" s="351"/>
      <c r="DY18" s="351"/>
      <c r="DZ18" s="351"/>
      <c r="EA18" s="351"/>
      <c r="EB18" s="351"/>
      <c r="EC18" s="352" t="s">
        <v>2001</v>
      </c>
      <c r="ED18" s="352"/>
      <c r="EE18" s="352"/>
      <c r="EF18" s="353"/>
      <c r="EG18" s="353"/>
      <c r="EH18" s="353"/>
      <c r="EI18" s="353"/>
      <c r="EJ18" s="353"/>
      <c r="EK18" s="337"/>
      <c r="EM18" s="338" t="s">
        <v>1997</v>
      </c>
      <c r="EN18" s="338">
        <v>1</v>
      </c>
      <c r="EU18" s="355" t="s">
        <v>2000</v>
      </c>
      <c r="EV18" s="355"/>
      <c r="EW18" s="355"/>
      <c r="EX18" s="355"/>
      <c r="EY18" s="355"/>
      <c r="EZ18" s="355"/>
      <c r="FA18" s="355"/>
      <c r="FB18" s="351"/>
      <c r="FC18" s="351"/>
      <c r="FD18" s="351"/>
      <c r="FE18" s="351"/>
      <c r="FF18" s="351"/>
      <c r="FG18" s="352" t="s">
        <v>2001</v>
      </c>
      <c r="FH18" s="352"/>
      <c r="FI18" s="352"/>
      <c r="FJ18" s="353"/>
      <c r="FK18" s="353"/>
      <c r="FL18" s="353"/>
      <c r="FM18" s="353"/>
      <c r="FN18" s="353"/>
      <c r="FO18" s="337"/>
      <c r="FQ18" s="338" t="s">
        <v>1997</v>
      </c>
      <c r="FR18" s="338">
        <v>1</v>
      </c>
      <c r="FY18" s="355" t="s">
        <v>2000</v>
      </c>
      <c r="FZ18" s="355"/>
      <c r="GA18" s="355"/>
      <c r="GB18" s="355"/>
      <c r="GC18" s="355"/>
      <c r="GD18" s="355"/>
      <c r="GE18" s="355"/>
      <c r="GF18" s="351"/>
      <c r="GG18" s="351"/>
      <c r="GH18" s="351"/>
      <c r="GI18" s="351"/>
      <c r="GJ18" s="351"/>
      <c r="GK18" s="352" t="s">
        <v>2001</v>
      </c>
      <c r="GL18" s="352"/>
      <c r="GM18" s="352"/>
      <c r="GN18" s="353"/>
      <c r="GO18" s="353"/>
      <c r="GP18" s="353"/>
      <c r="GQ18" s="353"/>
      <c r="GR18" s="353"/>
      <c r="GS18" s="337"/>
      <c r="GU18" s="338" t="s">
        <v>1997</v>
      </c>
      <c r="GV18" s="338">
        <v>1</v>
      </c>
      <c r="HC18" s="355" t="s">
        <v>2000</v>
      </c>
      <c r="HD18" s="355"/>
      <c r="HE18" s="355"/>
      <c r="HF18" s="355"/>
      <c r="HG18" s="355"/>
      <c r="HH18" s="355"/>
      <c r="HI18" s="355"/>
      <c r="HJ18" s="351"/>
      <c r="HK18" s="351"/>
      <c r="HL18" s="351"/>
      <c r="HM18" s="351"/>
      <c r="HN18" s="351"/>
      <c r="HO18" s="352" t="s">
        <v>2001</v>
      </c>
      <c r="HP18" s="352"/>
      <c r="HQ18" s="352"/>
      <c r="HR18" s="353"/>
      <c r="HS18" s="353"/>
      <c r="HT18" s="353"/>
      <c r="HU18" s="353"/>
      <c r="HV18" s="353"/>
      <c r="HW18" s="337"/>
      <c r="HY18" s="338" t="s">
        <v>1997</v>
      </c>
      <c r="HZ18" s="338">
        <v>1</v>
      </c>
      <c r="IG18" s="355" t="s">
        <v>2000</v>
      </c>
      <c r="IH18" s="355"/>
      <c r="II18" s="355"/>
      <c r="IJ18" s="355"/>
      <c r="IK18" s="355"/>
      <c r="IL18" s="355"/>
      <c r="IM18" s="355"/>
      <c r="IN18" s="351"/>
      <c r="IO18" s="351"/>
      <c r="IP18" s="351"/>
      <c r="IQ18" s="351"/>
      <c r="IR18" s="351"/>
      <c r="IS18" s="352" t="s">
        <v>2001</v>
      </c>
      <c r="IT18" s="352"/>
      <c r="IU18" s="352"/>
      <c r="IV18" s="353"/>
      <c r="IW18" s="353"/>
      <c r="IX18" s="353"/>
      <c r="IY18" s="353"/>
      <c r="IZ18" s="353"/>
      <c r="JA18" s="337"/>
      <c r="JC18" s="338" t="s">
        <v>1997</v>
      </c>
      <c r="JD18" s="338">
        <v>1</v>
      </c>
      <c r="JK18" s="355" t="s">
        <v>2000</v>
      </c>
      <c r="JL18" s="355"/>
      <c r="JM18" s="355"/>
      <c r="JN18" s="355"/>
      <c r="JO18" s="355"/>
      <c r="JP18" s="355"/>
      <c r="JQ18" s="355"/>
      <c r="JR18" s="351"/>
      <c r="JS18" s="351"/>
      <c r="JT18" s="351"/>
      <c r="JU18" s="351"/>
      <c r="JV18" s="351"/>
      <c r="JW18" s="352" t="s">
        <v>2001</v>
      </c>
      <c r="JX18" s="352"/>
      <c r="JY18" s="352"/>
      <c r="JZ18" s="353"/>
      <c r="KA18" s="353"/>
      <c r="KB18" s="353"/>
      <c r="KC18" s="353"/>
      <c r="KD18" s="353"/>
      <c r="KE18" s="337"/>
      <c r="KG18" s="338" t="s">
        <v>1997</v>
      </c>
      <c r="KH18" s="338">
        <v>1</v>
      </c>
      <c r="KO18" s="355" t="s">
        <v>2000</v>
      </c>
      <c r="KP18" s="355"/>
      <c r="KQ18" s="355"/>
      <c r="KR18" s="355"/>
      <c r="KS18" s="355"/>
      <c r="KT18" s="355"/>
      <c r="KU18" s="355"/>
      <c r="KV18" s="351"/>
      <c r="KW18" s="351"/>
      <c r="KX18" s="351"/>
      <c r="KY18" s="351"/>
      <c r="KZ18" s="351"/>
      <c r="LA18" s="352" t="s">
        <v>2001</v>
      </c>
      <c r="LB18" s="352"/>
      <c r="LC18" s="352"/>
      <c r="LD18" s="353"/>
      <c r="LE18" s="353"/>
      <c r="LF18" s="353"/>
      <c r="LG18" s="353"/>
      <c r="LH18" s="353"/>
      <c r="LI18" s="337"/>
      <c r="LK18" s="338" t="s">
        <v>1997</v>
      </c>
      <c r="LL18" s="338">
        <v>1</v>
      </c>
      <c r="LS18" s="355" t="s">
        <v>2000</v>
      </c>
      <c r="LT18" s="355"/>
      <c r="LU18" s="355"/>
      <c r="LV18" s="355"/>
      <c r="LW18" s="355"/>
      <c r="LX18" s="355"/>
      <c r="LY18" s="355"/>
      <c r="LZ18" s="351"/>
      <c r="MA18" s="351"/>
      <c r="MB18" s="351"/>
      <c r="MC18" s="351"/>
      <c r="MD18" s="351"/>
      <c r="ME18" s="352" t="s">
        <v>2001</v>
      </c>
      <c r="MF18" s="352"/>
      <c r="MG18" s="352"/>
      <c r="MH18" s="353"/>
      <c r="MI18" s="353"/>
      <c r="MJ18" s="353"/>
      <c r="MK18" s="353"/>
      <c r="ML18" s="353"/>
      <c r="MM18" s="337"/>
      <c r="MO18" s="338" t="s">
        <v>1997</v>
      </c>
      <c r="MP18" s="338">
        <v>1</v>
      </c>
      <c r="MW18" s="355" t="s">
        <v>2000</v>
      </c>
      <c r="MX18" s="355"/>
      <c r="MY18" s="355"/>
      <c r="MZ18" s="355"/>
      <c r="NA18" s="355"/>
      <c r="NB18" s="355"/>
      <c r="NC18" s="355"/>
      <c r="ND18" s="351"/>
      <c r="NE18" s="351"/>
      <c r="NF18" s="351"/>
      <c r="NG18" s="351"/>
      <c r="NH18" s="351"/>
      <c r="NI18" s="352" t="s">
        <v>2001</v>
      </c>
      <c r="NJ18" s="352"/>
      <c r="NK18" s="352"/>
      <c r="NL18" s="353"/>
      <c r="NM18" s="353"/>
      <c r="NN18" s="353"/>
      <c r="NO18" s="353"/>
      <c r="NP18" s="353"/>
      <c r="NQ18" s="337"/>
      <c r="NS18" s="338" t="s">
        <v>1997</v>
      </c>
      <c r="NT18" s="338">
        <v>1</v>
      </c>
      <c r="OA18" s="355" t="s">
        <v>2000</v>
      </c>
      <c r="OB18" s="355"/>
      <c r="OC18" s="355"/>
      <c r="OD18" s="355"/>
      <c r="OE18" s="355"/>
      <c r="OF18" s="355"/>
      <c r="OG18" s="355"/>
      <c r="OH18" s="351"/>
      <c r="OI18" s="351"/>
      <c r="OJ18" s="351"/>
      <c r="OK18" s="351"/>
      <c r="OL18" s="351"/>
      <c r="OM18" s="352" t="s">
        <v>2001</v>
      </c>
      <c r="ON18" s="352"/>
      <c r="OO18" s="352"/>
      <c r="OP18" s="353"/>
      <c r="OQ18" s="353"/>
      <c r="OR18" s="353"/>
      <c r="OS18" s="353"/>
      <c r="OT18" s="353"/>
      <c r="OU18" s="337"/>
      <c r="OW18" s="338" t="s">
        <v>1997</v>
      </c>
      <c r="OX18" s="338">
        <v>1</v>
      </c>
      <c r="PE18" s="355" t="s">
        <v>2000</v>
      </c>
      <c r="PF18" s="355"/>
      <c r="PG18" s="355"/>
      <c r="PH18" s="355"/>
      <c r="PI18" s="355"/>
      <c r="PJ18" s="355"/>
      <c r="PK18" s="355"/>
      <c r="PL18" s="351"/>
      <c r="PM18" s="351"/>
      <c r="PN18" s="351"/>
      <c r="PO18" s="351"/>
      <c r="PP18" s="351"/>
      <c r="PQ18" s="352" t="s">
        <v>2001</v>
      </c>
      <c r="PR18" s="352"/>
      <c r="PS18" s="352"/>
      <c r="PT18" s="353"/>
      <c r="PU18" s="353"/>
      <c r="PV18" s="353"/>
      <c r="PW18" s="353"/>
      <c r="PX18" s="353"/>
      <c r="PY18" s="337"/>
      <c r="QA18" s="338" t="s">
        <v>1997</v>
      </c>
      <c r="QB18" s="338">
        <v>1</v>
      </c>
      <c r="QI18" s="355" t="s">
        <v>2000</v>
      </c>
      <c r="QJ18" s="355"/>
      <c r="QK18" s="355"/>
      <c r="QL18" s="355"/>
      <c r="QM18" s="355"/>
      <c r="QN18" s="355"/>
      <c r="QO18" s="355"/>
      <c r="QP18" s="351"/>
      <c r="QQ18" s="351"/>
      <c r="QR18" s="351"/>
      <c r="QS18" s="351"/>
      <c r="QT18" s="351"/>
      <c r="QU18" s="352" t="s">
        <v>2001</v>
      </c>
      <c r="QV18" s="352"/>
      <c r="QW18" s="352"/>
      <c r="QX18" s="353"/>
      <c r="QY18" s="353"/>
      <c r="QZ18" s="353"/>
      <c r="RA18" s="353"/>
      <c r="RB18" s="353"/>
      <c r="RC18" s="337"/>
      <c r="RE18" s="338" t="s">
        <v>1997</v>
      </c>
      <c r="RF18" s="338">
        <v>1</v>
      </c>
      <c r="RM18" s="355" t="s">
        <v>2000</v>
      </c>
      <c r="RN18" s="355"/>
      <c r="RO18" s="355"/>
      <c r="RP18" s="355"/>
      <c r="RQ18" s="355"/>
      <c r="RR18" s="355"/>
      <c r="RS18" s="355"/>
      <c r="RT18" s="351"/>
      <c r="RU18" s="351"/>
      <c r="RV18" s="351"/>
      <c r="RW18" s="351"/>
      <c r="RX18" s="351"/>
      <c r="RY18" s="352" t="s">
        <v>2001</v>
      </c>
      <c r="RZ18" s="352"/>
      <c r="SA18" s="352"/>
      <c r="SB18" s="353"/>
      <c r="SC18" s="353"/>
      <c r="SD18" s="353"/>
      <c r="SE18" s="353"/>
      <c r="SF18" s="353"/>
      <c r="SG18" s="337"/>
      <c r="SI18" s="338" t="s">
        <v>1997</v>
      </c>
      <c r="SJ18" s="338">
        <v>1</v>
      </c>
      <c r="SQ18" s="355" t="s">
        <v>2000</v>
      </c>
      <c r="SR18" s="355"/>
      <c r="SS18" s="355"/>
      <c r="ST18" s="355"/>
      <c r="SU18" s="355"/>
      <c r="SV18" s="355"/>
      <c r="SW18" s="355"/>
      <c r="SX18" s="351"/>
      <c r="SY18" s="351"/>
      <c r="SZ18" s="351"/>
      <c r="TA18" s="351"/>
      <c r="TB18" s="351"/>
      <c r="TC18" s="352" t="s">
        <v>2001</v>
      </c>
      <c r="TD18" s="352"/>
      <c r="TE18" s="352"/>
      <c r="TF18" s="353"/>
      <c r="TG18" s="353"/>
      <c r="TH18" s="353"/>
      <c r="TI18" s="353"/>
      <c r="TJ18" s="353"/>
      <c r="TK18" s="337"/>
      <c r="TM18" s="338" t="s">
        <v>1997</v>
      </c>
      <c r="TN18" s="338">
        <v>1</v>
      </c>
      <c r="TU18" s="355" t="s">
        <v>2000</v>
      </c>
      <c r="TV18" s="355"/>
      <c r="TW18" s="355"/>
      <c r="TX18" s="355"/>
      <c r="TY18" s="355"/>
      <c r="TZ18" s="355"/>
      <c r="UA18" s="355"/>
      <c r="UB18" s="351"/>
      <c r="UC18" s="351"/>
      <c r="UD18" s="351"/>
      <c r="UE18" s="351"/>
      <c r="UF18" s="351"/>
      <c r="UG18" s="352" t="s">
        <v>2001</v>
      </c>
      <c r="UH18" s="352"/>
      <c r="UI18" s="352"/>
      <c r="UJ18" s="353"/>
      <c r="UK18" s="353"/>
      <c r="UL18" s="353"/>
      <c r="UM18" s="353"/>
      <c r="UN18" s="353"/>
      <c r="UO18" s="337"/>
      <c r="UQ18" s="338" t="s">
        <v>1997</v>
      </c>
      <c r="UR18" s="338">
        <v>1</v>
      </c>
      <c r="UY18" s="355" t="s">
        <v>2000</v>
      </c>
      <c r="UZ18" s="355"/>
      <c r="VA18" s="355"/>
      <c r="VB18" s="355"/>
      <c r="VC18" s="355"/>
      <c r="VD18" s="355"/>
      <c r="VE18" s="355"/>
      <c r="VF18" s="351"/>
      <c r="VG18" s="351"/>
      <c r="VH18" s="351"/>
      <c r="VI18" s="351"/>
      <c r="VJ18" s="351"/>
      <c r="VK18" s="352" t="s">
        <v>2001</v>
      </c>
      <c r="VL18" s="352"/>
      <c r="VM18" s="352"/>
      <c r="VN18" s="353"/>
      <c r="VO18" s="353"/>
      <c r="VP18" s="353"/>
      <c r="VQ18" s="353"/>
      <c r="VR18" s="353"/>
      <c r="VS18" s="337"/>
      <c r="VU18" s="338" t="s">
        <v>1997</v>
      </c>
      <c r="VV18" s="338">
        <v>1</v>
      </c>
      <c r="WC18" s="355" t="s">
        <v>2000</v>
      </c>
      <c r="WD18" s="355"/>
      <c r="WE18" s="355"/>
      <c r="WF18" s="355"/>
      <c r="WG18" s="355"/>
      <c r="WH18" s="355"/>
      <c r="WI18" s="355"/>
      <c r="WJ18" s="351"/>
      <c r="WK18" s="351"/>
      <c r="WL18" s="351"/>
      <c r="WM18" s="351"/>
      <c r="WN18" s="351"/>
      <c r="WO18" s="352" t="s">
        <v>2001</v>
      </c>
      <c r="WP18" s="352"/>
      <c r="WQ18" s="352"/>
      <c r="WR18" s="353"/>
      <c r="WS18" s="353"/>
      <c r="WT18" s="353"/>
      <c r="WU18" s="353"/>
      <c r="WV18" s="353"/>
      <c r="WW18" s="337"/>
      <c r="WY18" s="338" t="s">
        <v>1997</v>
      </c>
      <c r="WZ18" s="338">
        <v>1</v>
      </c>
      <c r="XG18" s="355" t="s">
        <v>2000</v>
      </c>
      <c r="XH18" s="355"/>
      <c r="XI18" s="355"/>
      <c r="XJ18" s="355"/>
      <c r="XK18" s="355"/>
      <c r="XL18" s="355"/>
      <c r="XM18" s="355"/>
      <c r="XN18" s="351"/>
      <c r="XO18" s="351"/>
      <c r="XP18" s="351"/>
      <c r="XQ18" s="351"/>
      <c r="XR18" s="351"/>
      <c r="XS18" s="352" t="s">
        <v>2001</v>
      </c>
      <c r="XT18" s="352"/>
      <c r="XU18" s="352"/>
      <c r="XV18" s="353"/>
      <c r="XW18" s="353"/>
      <c r="XX18" s="353"/>
      <c r="XY18" s="353"/>
      <c r="XZ18" s="353"/>
      <c r="YA18" s="337"/>
      <c r="YC18" s="338" t="s">
        <v>1997</v>
      </c>
      <c r="YD18" s="338">
        <v>1</v>
      </c>
      <c r="YK18" s="355" t="s">
        <v>2000</v>
      </c>
      <c r="YL18" s="355"/>
      <c r="YM18" s="355"/>
      <c r="YN18" s="355"/>
      <c r="YO18" s="355"/>
      <c r="YP18" s="355"/>
      <c r="YQ18" s="355"/>
      <c r="YR18" s="351"/>
      <c r="YS18" s="351"/>
      <c r="YT18" s="351"/>
      <c r="YU18" s="351"/>
      <c r="YV18" s="351"/>
      <c r="YW18" s="352" t="s">
        <v>2001</v>
      </c>
      <c r="YX18" s="352"/>
      <c r="YY18" s="352"/>
      <c r="YZ18" s="353"/>
      <c r="ZA18" s="353"/>
      <c r="ZB18" s="353"/>
      <c r="ZC18" s="353"/>
      <c r="ZD18" s="353"/>
      <c r="ZE18" s="337"/>
      <c r="ZG18" s="338" t="s">
        <v>1997</v>
      </c>
      <c r="ZH18" s="338">
        <v>1</v>
      </c>
      <c r="ZO18" s="355" t="s">
        <v>2000</v>
      </c>
      <c r="ZP18" s="355"/>
      <c r="ZQ18" s="355"/>
      <c r="ZR18" s="355"/>
      <c r="ZS18" s="355"/>
      <c r="ZT18" s="355"/>
      <c r="ZU18" s="355"/>
      <c r="ZV18" s="351"/>
      <c r="ZW18" s="351"/>
      <c r="ZX18" s="351"/>
      <c r="ZY18" s="351"/>
      <c r="ZZ18" s="351"/>
      <c r="AAA18" s="352" t="s">
        <v>2001</v>
      </c>
      <c r="AAB18" s="352"/>
      <c r="AAC18" s="352"/>
      <c r="AAD18" s="353"/>
      <c r="AAE18" s="353"/>
      <c r="AAF18" s="353"/>
      <c r="AAG18" s="353"/>
      <c r="AAH18" s="353"/>
      <c r="AAI18" s="337"/>
      <c r="AAK18" s="338" t="s">
        <v>1997</v>
      </c>
      <c r="AAL18" s="338">
        <v>1</v>
      </c>
      <c r="AAS18" s="355" t="s">
        <v>2000</v>
      </c>
      <c r="AAT18" s="355"/>
      <c r="AAU18" s="355"/>
      <c r="AAV18" s="355"/>
      <c r="AAW18" s="355"/>
      <c r="AAX18" s="355"/>
      <c r="AAY18" s="355"/>
      <c r="AAZ18" s="351"/>
      <c r="ABA18" s="351"/>
      <c r="ABB18" s="351"/>
      <c r="ABC18" s="351"/>
      <c r="ABD18" s="351"/>
      <c r="ABE18" s="352" t="s">
        <v>2001</v>
      </c>
      <c r="ABF18" s="352"/>
      <c r="ABG18" s="352"/>
      <c r="ABH18" s="353"/>
      <c r="ABI18" s="353"/>
      <c r="ABJ18" s="353"/>
      <c r="ABK18" s="353"/>
      <c r="ABL18" s="353"/>
      <c r="ABM18" s="337"/>
      <c r="ABO18" s="338" t="s">
        <v>1997</v>
      </c>
      <c r="ABP18" s="338">
        <v>1</v>
      </c>
      <c r="ABW18" s="355" t="s">
        <v>2000</v>
      </c>
      <c r="ABX18" s="355"/>
      <c r="ABY18" s="355"/>
      <c r="ABZ18" s="355"/>
      <c r="ACA18" s="355"/>
      <c r="ACB18" s="355"/>
      <c r="ACC18" s="355"/>
      <c r="ACD18" s="351"/>
      <c r="ACE18" s="351"/>
      <c r="ACF18" s="351"/>
      <c r="ACG18" s="351"/>
      <c r="ACH18" s="351"/>
      <c r="ACI18" s="352" t="s">
        <v>2001</v>
      </c>
      <c r="ACJ18" s="352"/>
      <c r="ACK18" s="352"/>
      <c r="ACL18" s="353"/>
      <c r="ACM18" s="353"/>
      <c r="ACN18" s="353"/>
      <c r="ACO18" s="353"/>
      <c r="ACP18" s="353"/>
      <c r="ACQ18" s="337"/>
      <c r="ACS18" s="338" t="s">
        <v>1997</v>
      </c>
      <c r="ACT18" s="338">
        <v>1</v>
      </c>
      <c r="ADA18" s="355" t="s">
        <v>2000</v>
      </c>
      <c r="ADB18" s="355"/>
      <c r="ADC18" s="355"/>
      <c r="ADD18" s="355"/>
      <c r="ADE18" s="355"/>
      <c r="ADF18" s="355"/>
      <c r="ADG18" s="355"/>
      <c r="ADH18" s="351"/>
      <c r="ADI18" s="351"/>
      <c r="ADJ18" s="351"/>
      <c r="ADK18" s="351"/>
      <c r="ADL18" s="351"/>
      <c r="ADM18" s="352" t="s">
        <v>2001</v>
      </c>
      <c r="ADN18" s="352"/>
      <c r="ADO18" s="352"/>
      <c r="ADP18" s="353"/>
      <c r="ADQ18" s="353"/>
      <c r="ADR18" s="353"/>
      <c r="ADS18" s="353"/>
      <c r="ADT18" s="353"/>
      <c r="ADU18" s="337"/>
      <c r="ADW18" s="338" t="s">
        <v>1997</v>
      </c>
      <c r="ADX18" s="338">
        <v>1</v>
      </c>
      <c r="AEE18" s="355" t="s">
        <v>2000</v>
      </c>
      <c r="AEF18" s="355"/>
      <c r="AEG18" s="355"/>
      <c r="AEH18" s="355"/>
      <c r="AEI18" s="355"/>
      <c r="AEJ18" s="355"/>
      <c r="AEK18" s="355"/>
      <c r="AEL18" s="351"/>
      <c r="AEM18" s="351"/>
      <c r="AEN18" s="351"/>
      <c r="AEO18" s="351"/>
      <c r="AEP18" s="351"/>
      <c r="AEQ18" s="352" t="s">
        <v>2001</v>
      </c>
      <c r="AER18" s="352"/>
      <c r="AES18" s="352"/>
      <c r="AET18" s="353"/>
      <c r="AEU18" s="353"/>
      <c r="AEV18" s="353"/>
      <c r="AEW18" s="353"/>
      <c r="AEX18" s="353"/>
      <c r="AEY18" s="337"/>
      <c r="AFA18" s="338" t="s">
        <v>1997</v>
      </c>
      <c r="AFB18" s="338">
        <v>1</v>
      </c>
      <c r="AFI18" s="355" t="s">
        <v>2000</v>
      </c>
      <c r="AFJ18" s="355"/>
      <c r="AFK18" s="355"/>
      <c r="AFL18" s="355"/>
      <c r="AFM18" s="355"/>
      <c r="AFN18" s="355"/>
      <c r="AFO18" s="355"/>
      <c r="AFP18" s="351"/>
      <c r="AFQ18" s="351"/>
      <c r="AFR18" s="351"/>
      <c r="AFS18" s="351"/>
      <c r="AFT18" s="351"/>
      <c r="AFU18" s="352" t="s">
        <v>2001</v>
      </c>
      <c r="AFV18" s="352"/>
      <c r="AFW18" s="352"/>
      <c r="AFX18" s="353"/>
      <c r="AFY18" s="353"/>
      <c r="AFZ18" s="353"/>
      <c r="AGA18" s="353"/>
      <c r="AGB18" s="353"/>
      <c r="AGC18" s="337"/>
      <c r="AGE18" s="338" t="s">
        <v>1997</v>
      </c>
      <c r="AGF18" s="338">
        <v>1</v>
      </c>
      <c r="AGM18" s="355" t="s">
        <v>2000</v>
      </c>
      <c r="AGN18" s="355"/>
      <c r="AGO18" s="355"/>
      <c r="AGP18" s="355"/>
      <c r="AGQ18" s="355"/>
      <c r="AGR18" s="355"/>
      <c r="AGS18" s="355"/>
      <c r="AGT18" s="351"/>
      <c r="AGU18" s="351"/>
      <c r="AGV18" s="351"/>
      <c r="AGW18" s="351"/>
      <c r="AGX18" s="351"/>
      <c r="AGY18" s="352" t="s">
        <v>2001</v>
      </c>
      <c r="AGZ18" s="352"/>
      <c r="AHA18" s="352"/>
      <c r="AHB18" s="353"/>
      <c r="AHC18" s="353"/>
      <c r="AHD18" s="353"/>
      <c r="AHE18" s="353"/>
      <c r="AHF18" s="353"/>
      <c r="AHG18" s="337"/>
      <c r="AHI18" s="338" t="s">
        <v>1997</v>
      </c>
      <c r="AHJ18" s="338">
        <v>1</v>
      </c>
      <c r="AHQ18" s="355" t="s">
        <v>2000</v>
      </c>
      <c r="AHR18" s="355"/>
      <c r="AHS18" s="355"/>
      <c r="AHT18" s="355"/>
      <c r="AHU18" s="355"/>
      <c r="AHV18" s="355"/>
      <c r="AHW18" s="355"/>
      <c r="AHX18" s="351"/>
      <c r="AHY18" s="351"/>
      <c r="AHZ18" s="351"/>
      <c r="AIA18" s="351"/>
      <c r="AIB18" s="351"/>
      <c r="AIC18" s="352" t="s">
        <v>2001</v>
      </c>
      <c r="AID18" s="352"/>
      <c r="AIE18" s="352"/>
      <c r="AIF18" s="353"/>
      <c r="AIG18" s="353"/>
      <c r="AIH18" s="353"/>
      <c r="AII18" s="353"/>
      <c r="AIJ18" s="353"/>
      <c r="AIK18" s="337"/>
      <c r="AIM18" s="338" t="s">
        <v>1997</v>
      </c>
      <c r="AIN18" s="338">
        <v>1</v>
      </c>
      <c r="AIU18" s="355" t="s">
        <v>2000</v>
      </c>
      <c r="AIV18" s="355"/>
      <c r="AIW18" s="355"/>
      <c r="AIX18" s="355"/>
      <c r="AIY18" s="355"/>
      <c r="AIZ18" s="355"/>
      <c r="AJA18" s="355"/>
      <c r="AJB18" s="351"/>
      <c r="AJC18" s="351"/>
      <c r="AJD18" s="351"/>
      <c r="AJE18" s="351"/>
      <c r="AJF18" s="351"/>
      <c r="AJG18" s="352" t="s">
        <v>2001</v>
      </c>
      <c r="AJH18" s="352"/>
      <c r="AJI18" s="352"/>
      <c r="AJJ18" s="353"/>
      <c r="AJK18" s="353"/>
      <c r="AJL18" s="353"/>
      <c r="AJM18" s="353"/>
      <c r="AJN18" s="353"/>
      <c r="AJO18" s="337"/>
      <c r="AJQ18" s="338" t="s">
        <v>1997</v>
      </c>
      <c r="AJR18" s="338">
        <v>1</v>
      </c>
      <c r="AJY18" s="355" t="s">
        <v>2000</v>
      </c>
      <c r="AJZ18" s="355"/>
      <c r="AKA18" s="355"/>
      <c r="AKB18" s="355"/>
      <c r="AKC18" s="355"/>
      <c r="AKD18" s="355"/>
      <c r="AKE18" s="355"/>
      <c r="AKF18" s="351"/>
      <c r="AKG18" s="351"/>
      <c r="AKH18" s="351"/>
      <c r="AKI18" s="351"/>
      <c r="AKJ18" s="351"/>
      <c r="AKK18" s="352" t="s">
        <v>2001</v>
      </c>
      <c r="AKL18" s="352"/>
      <c r="AKM18" s="352"/>
      <c r="AKN18" s="353"/>
      <c r="AKO18" s="353"/>
      <c r="AKP18" s="353"/>
      <c r="AKQ18" s="353"/>
      <c r="AKR18" s="353"/>
      <c r="AKS18" s="337"/>
      <c r="AKU18" s="338" t="s">
        <v>1997</v>
      </c>
      <c r="AKV18" s="338">
        <v>1</v>
      </c>
      <c r="ALC18" s="355" t="s">
        <v>2000</v>
      </c>
      <c r="ALD18" s="355"/>
      <c r="ALE18" s="355"/>
      <c r="ALF18" s="355"/>
      <c r="ALG18" s="355"/>
      <c r="ALH18" s="355"/>
      <c r="ALI18" s="355"/>
      <c r="ALJ18" s="351"/>
      <c r="ALK18" s="351"/>
      <c r="ALL18" s="351"/>
      <c r="ALM18" s="351"/>
      <c r="ALN18" s="351"/>
      <c r="ALO18" s="352" t="s">
        <v>2001</v>
      </c>
      <c r="ALP18" s="352"/>
      <c r="ALQ18" s="352"/>
      <c r="ALR18" s="353"/>
      <c r="ALS18" s="353"/>
      <c r="ALT18" s="353"/>
      <c r="ALU18" s="353"/>
      <c r="ALV18" s="353"/>
      <c r="ALW18" s="337"/>
      <c r="ALY18" s="338" t="s">
        <v>1997</v>
      </c>
      <c r="ALZ18" s="338">
        <v>1</v>
      </c>
      <c r="AMG18" s="356" t="s">
        <v>2000</v>
      </c>
      <c r="AMH18" s="356"/>
      <c r="AMI18" s="356"/>
      <c r="AMJ18" s="356"/>
    </row>
    <row r="19" spans="1:1024" x14ac:dyDescent="0.2">
      <c r="H19" s="351"/>
      <c r="I19" s="351"/>
      <c r="J19" s="351"/>
      <c r="K19" s="351"/>
      <c r="L19" s="351"/>
      <c r="M19" s="352" t="s">
        <v>2002</v>
      </c>
      <c r="N19" s="352"/>
      <c r="O19" s="352"/>
      <c r="P19" s="353"/>
      <c r="Q19" s="353"/>
      <c r="R19" s="353"/>
      <c r="S19" s="353"/>
      <c r="T19" s="353"/>
      <c r="U19" s="337"/>
      <c r="V19" s="338"/>
      <c r="W19" s="338" t="s">
        <v>1997</v>
      </c>
      <c r="X19" s="338">
        <v>1</v>
      </c>
      <c r="Y19" s="338"/>
      <c r="Z19" s="338"/>
      <c r="AA19" s="338"/>
      <c r="AB19" s="338"/>
      <c r="AC19" s="338"/>
      <c r="AD19" s="338"/>
      <c r="AL19" s="351"/>
      <c r="AM19" s="351"/>
      <c r="AN19" s="351"/>
      <c r="AO19" s="351"/>
      <c r="AP19" s="351"/>
      <c r="AQ19" s="352" t="s">
        <v>2002</v>
      </c>
      <c r="AR19" s="352"/>
      <c r="AS19" s="352"/>
      <c r="AT19" s="353"/>
      <c r="AU19" s="353"/>
      <c r="AV19" s="353"/>
      <c r="AW19" s="353"/>
      <c r="AX19" s="353"/>
      <c r="AY19" s="337"/>
      <c r="AZ19" s="338"/>
      <c r="BA19" s="338" t="s">
        <v>1997</v>
      </c>
      <c r="BB19" s="338">
        <v>1</v>
      </c>
      <c r="BC19" s="338"/>
      <c r="BD19" s="338"/>
      <c r="BE19" s="338"/>
      <c r="BF19" s="338"/>
      <c r="BG19" s="338"/>
      <c r="BH19" s="338"/>
      <c r="BP19" s="351"/>
      <c r="BQ19" s="351"/>
      <c r="BR19" s="351"/>
      <c r="BS19" s="351"/>
      <c r="BT19" s="351"/>
      <c r="BU19" s="352" t="s">
        <v>2002</v>
      </c>
      <c r="BV19" s="352"/>
      <c r="BW19" s="352"/>
      <c r="BX19" s="353"/>
      <c r="BY19" s="353"/>
      <c r="BZ19" s="353"/>
      <c r="CA19" s="353"/>
      <c r="CB19" s="353"/>
      <c r="CC19" s="337"/>
      <c r="CD19" s="338"/>
      <c r="CE19" s="338" t="s">
        <v>1997</v>
      </c>
      <c r="CF19" s="338">
        <v>1</v>
      </c>
      <c r="CG19" s="338"/>
      <c r="CH19" s="338"/>
      <c r="CI19" s="338"/>
      <c r="CJ19" s="338"/>
      <c r="CK19" s="338"/>
      <c r="CL19" s="338"/>
      <c r="CT19" s="351"/>
      <c r="CU19" s="351"/>
      <c r="CV19" s="351"/>
      <c r="CW19" s="351"/>
      <c r="CX19" s="351"/>
      <c r="CY19" s="352" t="s">
        <v>2002</v>
      </c>
      <c r="CZ19" s="352"/>
      <c r="DA19" s="352"/>
      <c r="DB19" s="353"/>
      <c r="DC19" s="353"/>
      <c r="DD19" s="353"/>
      <c r="DE19" s="353"/>
      <c r="DF19" s="353"/>
      <c r="DG19" s="337"/>
      <c r="DH19" s="338"/>
      <c r="DI19" s="338" t="s">
        <v>1997</v>
      </c>
      <c r="DJ19" s="338">
        <v>1</v>
      </c>
      <c r="DK19" s="338"/>
      <c r="DL19" s="338"/>
      <c r="DM19" s="338"/>
      <c r="DN19" s="338"/>
      <c r="DO19" s="338"/>
      <c r="DP19" s="338"/>
      <c r="DX19" s="351"/>
      <c r="DY19" s="351"/>
      <c r="DZ19" s="351"/>
      <c r="EA19" s="351"/>
      <c r="EB19" s="351"/>
      <c r="EC19" s="352" t="s">
        <v>2002</v>
      </c>
      <c r="ED19" s="352"/>
      <c r="EE19" s="352"/>
      <c r="EF19" s="353"/>
      <c r="EG19" s="353"/>
      <c r="EH19" s="353"/>
      <c r="EI19" s="353"/>
      <c r="EJ19" s="353"/>
      <c r="EK19" s="337"/>
      <c r="EL19" s="338"/>
      <c r="EM19" s="338" t="s">
        <v>1997</v>
      </c>
      <c r="EN19" s="338">
        <v>1</v>
      </c>
      <c r="EO19" s="338"/>
      <c r="EP19" s="338"/>
      <c r="EQ19" s="338"/>
      <c r="ER19" s="338"/>
      <c r="ES19" s="338"/>
      <c r="ET19" s="338"/>
      <c r="FB19" s="351"/>
      <c r="FC19" s="351"/>
      <c r="FD19" s="351"/>
      <c r="FE19" s="351"/>
      <c r="FF19" s="351"/>
      <c r="FG19" s="352" t="s">
        <v>2002</v>
      </c>
      <c r="FH19" s="352"/>
      <c r="FI19" s="352"/>
      <c r="FJ19" s="353"/>
      <c r="FK19" s="353"/>
      <c r="FL19" s="353"/>
      <c r="FM19" s="353"/>
      <c r="FN19" s="353"/>
      <c r="FO19" s="337"/>
      <c r="FP19" s="338"/>
      <c r="FQ19" s="338" t="s">
        <v>1997</v>
      </c>
      <c r="FR19" s="338">
        <v>1</v>
      </c>
      <c r="FS19" s="338"/>
      <c r="FT19" s="338"/>
      <c r="FU19" s="338"/>
      <c r="FV19" s="338"/>
      <c r="FW19" s="338"/>
      <c r="FX19" s="338"/>
      <c r="GF19" s="351"/>
      <c r="GG19" s="351"/>
      <c r="GH19" s="351"/>
      <c r="GI19" s="351"/>
      <c r="GJ19" s="351"/>
      <c r="GK19" s="352" t="s">
        <v>2002</v>
      </c>
      <c r="GL19" s="352"/>
      <c r="GM19" s="352"/>
      <c r="GN19" s="353"/>
      <c r="GO19" s="353"/>
      <c r="GP19" s="353"/>
      <c r="GQ19" s="353"/>
      <c r="GR19" s="353"/>
      <c r="GS19" s="337"/>
      <c r="GT19" s="338"/>
      <c r="GU19" s="338" t="s">
        <v>1997</v>
      </c>
      <c r="GV19" s="338">
        <v>1</v>
      </c>
      <c r="GW19" s="338"/>
      <c r="GX19" s="338"/>
      <c r="GY19" s="338"/>
      <c r="GZ19" s="338"/>
      <c r="HA19" s="338"/>
      <c r="HB19" s="338"/>
      <c r="HJ19" s="351"/>
      <c r="HK19" s="351"/>
      <c r="HL19" s="351"/>
      <c r="HM19" s="351"/>
      <c r="HN19" s="351"/>
      <c r="HO19" s="352" t="s">
        <v>2002</v>
      </c>
      <c r="HP19" s="352"/>
      <c r="HQ19" s="352"/>
      <c r="HR19" s="353"/>
      <c r="HS19" s="353"/>
      <c r="HT19" s="353"/>
      <c r="HU19" s="353"/>
      <c r="HV19" s="353"/>
      <c r="HW19" s="337"/>
      <c r="HX19" s="338"/>
      <c r="HY19" s="338" t="s">
        <v>1997</v>
      </c>
      <c r="HZ19" s="338">
        <v>1</v>
      </c>
      <c r="IA19" s="338"/>
      <c r="IB19" s="338"/>
      <c r="IC19" s="338"/>
      <c r="ID19" s="338"/>
      <c r="IE19" s="338"/>
      <c r="IF19" s="338"/>
      <c r="IN19" s="351"/>
      <c r="IO19" s="351"/>
      <c r="IP19" s="351"/>
      <c r="IQ19" s="351"/>
      <c r="IR19" s="351"/>
      <c r="IS19" s="352" t="s">
        <v>2002</v>
      </c>
      <c r="IT19" s="352"/>
      <c r="IU19" s="352"/>
      <c r="IV19" s="353"/>
      <c r="IW19" s="353"/>
      <c r="IX19" s="353"/>
      <c r="IY19" s="353"/>
      <c r="IZ19" s="353"/>
      <c r="JA19" s="337"/>
      <c r="JB19" s="338"/>
      <c r="JC19" s="338" t="s">
        <v>1997</v>
      </c>
      <c r="JD19" s="338">
        <v>1</v>
      </c>
      <c r="JE19" s="338"/>
      <c r="JF19" s="338"/>
      <c r="JG19" s="338"/>
      <c r="JH19" s="338"/>
      <c r="JI19" s="338"/>
      <c r="JJ19" s="338"/>
      <c r="JR19" s="351"/>
      <c r="JS19" s="351"/>
      <c r="JT19" s="351"/>
      <c r="JU19" s="351"/>
      <c r="JV19" s="351"/>
      <c r="JW19" s="352" t="s">
        <v>2002</v>
      </c>
      <c r="JX19" s="352"/>
      <c r="JY19" s="352"/>
      <c r="JZ19" s="353"/>
      <c r="KA19" s="353"/>
      <c r="KB19" s="353"/>
      <c r="KC19" s="353"/>
      <c r="KD19" s="353"/>
      <c r="KE19" s="337"/>
      <c r="KF19" s="338"/>
      <c r="KG19" s="338" t="s">
        <v>1997</v>
      </c>
      <c r="KH19" s="338">
        <v>1</v>
      </c>
      <c r="KI19" s="338"/>
      <c r="KJ19" s="338"/>
      <c r="KK19" s="338"/>
      <c r="KL19" s="338"/>
      <c r="KM19" s="338"/>
      <c r="KN19" s="338"/>
      <c r="KV19" s="351"/>
      <c r="KW19" s="351"/>
      <c r="KX19" s="351"/>
      <c r="KY19" s="351"/>
      <c r="KZ19" s="351"/>
      <c r="LA19" s="352" t="s">
        <v>2002</v>
      </c>
      <c r="LB19" s="352"/>
      <c r="LC19" s="352"/>
      <c r="LD19" s="353"/>
      <c r="LE19" s="353"/>
      <c r="LF19" s="353"/>
      <c r="LG19" s="353"/>
      <c r="LH19" s="353"/>
      <c r="LI19" s="337"/>
      <c r="LJ19" s="338"/>
      <c r="LK19" s="338" t="s">
        <v>1997</v>
      </c>
      <c r="LL19" s="338">
        <v>1</v>
      </c>
      <c r="LM19" s="338"/>
      <c r="LN19" s="338"/>
      <c r="LO19" s="338"/>
      <c r="LP19" s="338"/>
      <c r="LQ19" s="338"/>
      <c r="LR19" s="338"/>
      <c r="LZ19" s="351"/>
      <c r="MA19" s="351"/>
      <c r="MB19" s="351"/>
      <c r="MC19" s="351"/>
      <c r="MD19" s="351"/>
      <c r="ME19" s="352" t="s">
        <v>2002</v>
      </c>
      <c r="MF19" s="352"/>
      <c r="MG19" s="352"/>
      <c r="MH19" s="353"/>
      <c r="MI19" s="353"/>
      <c r="MJ19" s="353"/>
      <c r="MK19" s="353"/>
      <c r="ML19" s="353"/>
      <c r="MM19" s="337"/>
      <c r="MN19" s="338"/>
      <c r="MO19" s="338" t="s">
        <v>1997</v>
      </c>
      <c r="MP19" s="338">
        <v>1</v>
      </c>
      <c r="MQ19" s="338"/>
      <c r="MR19" s="338"/>
      <c r="MS19" s="338"/>
      <c r="MT19" s="338"/>
      <c r="MU19" s="338"/>
      <c r="MV19" s="338"/>
      <c r="ND19" s="351"/>
      <c r="NE19" s="351"/>
      <c r="NF19" s="351"/>
      <c r="NG19" s="351"/>
      <c r="NH19" s="351"/>
      <c r="NI19" s="352" t="s">
        <v>2002</v>
      </c>
      <c r="NJ19" s="352"/>
      <c r="NK19" s="352"/>
      <c r="NL19" s="353"/>
      <c r="NM19" s="353"/>
      <c r="NN19" s="353"/>
      <c r="NO19" s="353"/>
      <c r="NP19" s="353"/>
      <c r="NQ19" s="337"/>
      <c r="NR19" s="338"/>
      <c r="NS19" s="338" t="s">
        <v>1997</v>
      </c>
      <c r="NT19" s="338">
        <v>1</v>
      </c>
      <c r="NU19" s="338"/>
      <c r="NV19" s="338"/>
      <c r="NW19" s="338"/>
      <c r="NX19" s="338"/>
      <c r="NY19" s="338"/>
      <c r="NZ19" s="338"/>
      <c r="OH19" s="351"/>
      <c r="OI19" s="351"/>
      <c r="OJ19" s="351"/>
      <c r="OK19" s="351"/>
      <c r="OL19" s="351"/>
      <c r="OM19" s="352" t="s">
        <v>2002</v>
      </c>
      <c r="ON19" s="352"/>
      <c r="OO19" s="352"/>
      <c r="OP19" s="353"/>
      <c r="OQ19" s="353"/>
      <c r="OR19" s="353"/>
      <c r="OS19" s="353"/>
      <c r="OT19" s="353"/>
      <c r="OU19" s="337"/>
      <c r="OV19" s="338"/>
      <c r="OW19" s="338" t="s">
        <v>1997</v>
      </c>
      <c r="OX19" s="338">
        <v>1</v>
      </c>
      <c r="OY19" s="338"/>
      <c r="OZ19" s="338"/>
      <c r="PA19" s="338"/>
      <c r="PB19" s="338"/>
      <c r="PC19" s="338"/>
      <c r="PD19" s="338"/>
      <c r="PL19" s="351"/>
      <c r="PM19" s="351"/>
      <c r="PN19" s="351"/>
      <c r="PO19" s="351"/>
      <c r="PP19" s="351"/>
      <c r="PQ19" s="352" t="s">
        <v>2002</v>
      </c>
      <c r="PR19" s="352"/>
      <c r="PS19" s="352"/>
      <c r="PT19" s="353"/>
      <c r="PU19" s="353"/>
      <c r="PV19" s="353"/>
      <c r="PW19" s="353"/>
      <c r="PX19" s="353"/>
      <c r="PY19" s="337"/>
      <c r="PZ19" s="338"/>
      <c r="QA19" s="338" t="s">
        <v>1997</v>
      </c>
      <c r="QB19" s="338">
        <v>1</v>
      </c>
      <c r="QC19" s="338"/>
      <c r="QD19" s="338"/>
      <c r="QE19" s="338"/>
      <c r="QF19" s="338"/>
      <c r="QG19" s="338"/>
      <c r="QH19" s="338"/>
      <c r="QP19" s="351"/>
      <c r="QQ19" s="351"/>
      <c r="QR19" s="351"/>
      <c r="QS19" s="351"/>
      <c r="QT19" s="351"/>
      <c r="QU19" s="352" t="s">
        <v>2002</v>
      </c>
      <c r="QV19" s="352"/>
      <c r="QW19" s="352"/>
      <c r="QX19" s="353"/>
      <c r="QY19" s="353"/>
      <c r="QZ19" s="353"/>
      <c r="RA19" s="353"/>
      <c r="RB19" s="353"/>
      <c r="RC19" s="337"/>
      <c r="RD19" s="338"/>
      <c r="RE19" s="338" t="s">
        <v>1997</v>
      </c>
      <c r="RF19" s="338">
        <v>1</v>
      </c>
      <c r="RG19" s="338"/>
      <c r="RH19" s="338"/>
      <c r="RI19" s="338"/>
      <c r="RJ19" s="338"/>
      <c r="RK19" s="338"/>
      <c r="RL19" s="338"/>
      <c r="RT19" s="351"/>
      <c r="RU19" s="351"/>
      <c r="RV19" s="351"/>
      <c r="RW19" s="351"/>
      <c r="RX19" s="351"/>
      <c r="RY19" s="352" t="s">
        <v>2002</v>
      </c>
      <c r="RZ19" s="352"/>
      <c r="SA19" s="352"/>
      <c r="SB19" s="353"/>
      <c r="SC19" s="353"/>
      <c r="SD19" s="353"/>
      <c r="SE19" s="353"/>
      <c r="SF19" s="353"/>
      <c r="SG19" s="337"/>
      <c r="SH19" s="338"/>
      <c r="SI19" s="338" t="s">
        <v>1997</v>
      </c>
      <c r="SJ19" s="338">
        <v>1</v>
      </c>
      <c r="SK19" s="338"/>
      <c r="SL19" s="338"/>
      <c r="SM19" s="338"/>
      <c r="SN19" s="338"/>
      <c r="SO19" s="338"/>
      <c r="SP19" s="338"/>
      <c r="SX19" s="351"/>
      <c r="SY19" s="351"/>
      <c r="SZ19" s="351"/>
      <c r="TA19" s="351"/>
      <c r="TB19" s="351"/>
      <c r="TC19" s="352" t="s">
        <v>2002</v>
      </c>
      <c r="TD19" s="352"/>
      <c r="TE19" s="352"/>
      <c r="TF19" s="353"/>
      <c r="TG19" s="353"/>
      <c r="TH19" s="353"/>
      <c r="TI19" s="353"/>
      <c r="TJ19" s="353"/>
      <c r="TK19" s="337"/>
      <c r="TL19" s="338"/>
      <c r="TM19" s="338" t="s">
        <v>1997</v>
      </c>
      <c r="TN19" s="338">
        <v>1</v>
      </c>
      <c r="TO19" s="338"/>
      <c r="TP19" s="338"/>
      <c r="TQ19" s="338"/>
      <c r="TR19" s="338"/>
      <c r="TS19" s="338"/>
      <c r="TT19" s="338"/>
      <c r="UB19" s="351"/>
      <c r="UC19" s="351"/>
      <c r="UD19" s="351"/>
      <c r="UE19" s="351"/>
      <c r="UF19" s="351"/>
      <c r="UG19" s="352" t="s">
        <v>2002</v>
      </c>
      <c r="UH19" s="352"/>
      <c r="UI19" s="352"/>
      <c r="UJ19" s="353"/>
      <c r="UK19" s="353"/>
      <c r="UL19" s="353"/>
      <c r="UM19" s="353"/>
      <c r="UN19" s="353"/>
      <c r="UO19" s="337"/>
      <c r="UP19" s="338"/>
      <c r="UQ19" s="338" t="s">
        <v>1997</v>
      </c>
      <c r="UR19" s="338">
        <v>1</v>
      </c>
      <c r="US19" s="338"/>
      <c r="UT19" s="338"/>
      <c r="UU19" s="338"/>
      <c r="UV19" s="338"/>
      <c r="UW19" s="338"/>
      <c r="UX19" s="338"/>
      <c r="VF19" s="351"/>
      <c r="VG19" s="351"/>
      <c r="VH19" s="351"/>
      <c r="VI19" s="351"/>
      <c r="VJ19" s="351"/>
      <c r="VK19" s="352" t="s">
        <v>2002</v>
      </c>
      <c r="VL19" s="352"/>
      <c r="VM19" s="352"/>
      <c r="VN19" s="353"/>
      <c r="VO19" s="353"/>
      <c r="VP19" s="353"/>
      <c r="VQ19" s="353"/>
      <c r="VR19" s="353"/>
      <c r="VS19" s="337"/>
      <c r="VT19" s="338"/>
      <c r="VU19" s="338" t="s">
        <v>1997</v>
      </c>
      <c r="VV19" s="338">
        <v>1</v>
      </c>
      <c r="VW19" s="338"/>
      <c r="VX19" s="338"/>
      <c r="VY19" s="338"/>
      <c r="VZ19" s="338"/>
      <c r="WA19" s="338"/>
      <c r="WB19" s="338"/>
      <c r="WJ19" s="351"/>
      <c r="WK19" s="351"/>
      <c r="WL19" s="351"/>
      <c r="WM19" s="351"/>
      <c r="WN19" s="351"/>
      <c r="WO19" s="352" t="s">
        <v>2002</v>
      </c>
      <c r="WP19" s="352"/>
      <c r="WQ19" s="352"/>
      <c r="WR19" s="353"/>
      <c r="WS19" s="353"/>
      <c r="WT19" s="353"/>
      <c r="WU19" s="353"/>
      <c r="WV19" s="353"/>
      <c r="WW19" s="337"/>
      <c r="WX19" s="338"/>
      <c r="WY19" s="338" t="s">
        <v>1997</v>
      </c>
      <c r="WZ19" s="338">
        <v>1</v>
      </c>
      <c r="XA19" s="338"/>
      <c r="XB19" s="338"/>
      <c r="XC19" s="338"/>
      <c r="XD19" s="338"/>
      <c r="XE19" s="338"/>
      <c r="XF19" s="338"/>
      <c r="XN19" s="351"/>
      <c r="XO19" s="351"/>
      <c r="XP19" s="351"/>
      <c r="XQ19" s="351"/>
      <c r="XR19" s="351"/>
      <c r="XS19" s="352" t="s">
        <v>2002</v>
      </c>
      <c r="XT19" s="352"/>
      <c r="XU19" s="352"/>
      <c r="XV19" s="353"/>
      <c r="XW19" s="353"/>
      <c r="XX19" s="353"/>
      <c r="XY19" s="353"/>
      <c r="XZ19" s="353"/>
      <c r="YA19" s="337"/>
      <c r="YB19" s="338"/>
      <c r="YC19" s="338" t="s">
        <v>1997</v>
      </c>
      <c r="YD19" s="338">
        <v>1</v>
      </c>
      <c r="YE19" s="338"/>
      <c r="YF19" s="338"/>
      <c r="YG19" s="338"/>
      <c r="YH19" s="338"/>
      <c r="YI19" s="338"/>
      <c r="YJ19" s="338"/>
      <c r="YR19" s="351"/>
      <c r="YS19" s="351"/>
      <c r="YT19" s="351"/>
      <c r="YU19" s="351"/>
      <c r="YV19" s="351"/>
      <c r="YW19" s="352" t="s">
        <v>2002</v>
      </c>
      <c r="YX19" s="352"/>
      <c r="YY19" s="352"/>
      <c r="YZ19" s="353"/>
      <c r="ZA19" s="353"/>
      <c r="ZB19" s="353"/>
      <c r="ZC19" s="353"/>
      <c r="ZD19" s="353"/>
      <c r="ZE19" s="337"/>
      <c r="ZF19" s="338"/>
      <c r="ZG19" s="338" t="s">
        <v>1997</v>
      </c>
      <c r="ZH19" s="338">
        <v>1</v>
      </c>
      <c r="ZI19" s="338"/>
      <c r="ZJ19" s="338"/>
      <c r="ZK19" s="338"/>
      <c r="ZL19" s="338"/>
      <c r="ZM19" s="338"/>
      <c r="ZN19" s="338"/>
      <c r="ZV19" s="351"/>
      <c r="ZW19" s="351"/>
      <c r="ZX19" s="351"/>
      <c r="ZY19" s="351"/>
      <c r="ZZ19" s="351"/>
      <c r="AAA19" s="352" t="s">
        <v>2002</v>
      </c>
      <c r="AAB19" s="352"/>
      <c r="AAC19" s="352"/>
      <c r="AAD19" s="353"/>
      <c r="AAE19" s="353"/>
      <c r="AAF19" s="353"/>
      <c r="AAG19" s="353"/>
      <c r="AAH19" s="353"/>
      <c r="AAI19" s="337"/>
      <c r="AAJ19" s="338"/>
      <c r="AAK19" s="338" t="s">
        <v>1997</v>
      </c>
      <c r="AAL19" s="338">
        <v>1</v>
      </c>
      <c r="AAM19" s="338"/>
      <c r="AAN19" s="338"/>
      <c r="AAO19" s="338"/>
      <c r="AAP19" s="338"/>
      <c r="AAQ19" s="338"/>
      <c r="AAR19" s="338"/>
      <c r="AAZ19" s="351"/>
      <c r="ABA19" s="351"/>
      <c r="ABB19" s="351"/>
      <c r="ABC19" s="351"/>
      <c r="ABD19" s="351"/>
      <c r="ABE19" s="352" t="s">
        <v>2002</v>
      </c>
      <c r="ABF19" s="352"/>
      <c r="ABG19" s="352"/>
      <c r="ABH19" s="353"/>
      <c r="ABI19" s="353"/>
      <c r="ABJ19" s="353"/>
      <c r="ABK19" s="353"/>
      <c r="ABL19" s="353"/>
      <c r="ABM19" s="337"/>
      <c r="ABN19" s="338"/>
      <c r="ABO19" s="338" t="s">
        <v>1997</v>
      </c>
      <c r="ABP19" s="338">
        <v>1</v>
      </c>
      <c r="ABQ19" s="338"/>
      <c r="ABR19" s="338"/>
      <c r="ABS19" s="338"/>
      <c r="ABT19" s="338"/>
      <c r="ABU19" s="338"/>
      <c r="ABV19" s="338"/>
      <c r="ACD19" s="351"/>
      <c r="ACE19" s="351"/>
      <c r="ACF19" s="351"/>
      <c r="ACG19" s="351"/>
      <c r="ACH19" s="351"/>
      <c r="ACI19" s="352" t="s">
        <v>2002</v>
      </c>
      <c r="ACJ19" s="352"/>
      <c r="ACK19" s="352"/>
      <c r="ACL19" s="353"/>
      <c r="ACM19" s="353"/>
      <c r="ACN19" s="353"/>
      <c r="ACO19" s="353"/>
      <c r="ACP19" s="353"/>
      <c r="ACQ19" s="337"/>
      <c r="ACR19" s="338"/>
      <c r="ACS19" s="338" t="s">
        <v>1997</v>
      </c>
      <c r="ACT19" s="338">
        <v>1</v>
      </c>
      <c r="ACU19" s="338"/>
      <c r="ACV19" s="338"/>
      <c r="ACW19" s="338"/>
      <c r="ACX19" s="338"/>
      <c r="ACY19" s="338"/>
      <c r="ACZ19" s="338"/>
      <c r="ADH19" s="351"/>
      <c r="ADI19" s="351"/>
      <c r="ADJ19" s="351"/>
      <c r="ADK19" s="351"/>
      <c r="ADL19" s="351"/>
      <c r="ADM19" s="352" t="s">
        <v>2002</v>
      </c>
      <c r="ADN19" s="352"/>
      <c r="ADO19" s="352"/>
      <c r="ADP19" s="353"/>
      <c r="ADQ19" s="353"/>
      <c r="ADR19" s="353"/>
      <c r="ADS19" s="353"/>
      <c r="ADT19" s="353"/>
      <c r="ADU19" s="337"/>
      <c r="ADV19" s="338"/>
      <c r="ADW19" s="338" t="s">
        <v>1997</v>
      </c>
      <c r="ADX19" s="338">
        <v>1</v>
      </c>
      <c r="ADY19" s="338"/>
      <c r="ADZ19" s="338"/>
      <c r="AEA19" s="338"/>
      <c r="AEB19" s="338"/>
      <c r="AEC19" s="338"/>
      <c r="AED19" s="338"/>
      <c r="AEL19" s="351"/>
      <c r="AEM19" s="351"/>
      <c r="AEN19" s="351"/>
      <c r="AEO19" s="351"/>
      <c r="AEP19" s="351"/>
      <c r="AEQ19" s="352" t="s">
        <v>2002</v>
      </c>
      <c r="AER19" s="352"/>
      <c r="AES19" s="352"/>
      <c r="AET19" s="353"/>
      <c r="AEU19" s="353"/>
      <c r="AEV19" s="353"/>
      <c r="AEW19" s="353"/>
      <c r="AEX19" s="353"/>
      <c r="AEY19" s="337"/>
      <c r="AEZ19" s="338"/>
      <c r="AFA19" s="338" t="s">
        <v>1997</v>
      </c>
      <c r="AFB19" s="338">
        <v>1</v>
      </c>
      <c r="AFC19" s="338"/>
      <c r="AFD19" s="338"/>
      <c r="AFE19" s="338"/>
      <c r="AFF19" s="338"/>
      <c r="AFG19" s="338"/>
      <c r="AFH19" s="338"/>
      <c r="AFP19" s="351"/>
      <c r="AFQ19" s="351"/>
      <c r="AFR19" s="351"/>
      <c r="AFS19" s="351"/>
      <c r="AFT19" s="351"/>
      <c r="AFU19" s="352" t="s">
        <v>2002</v>
      </c>
      <c r="AFV19" s="352"/>
      <c r="AFW19" s="352"/>
      <c r="AFX19" s="353"/>
      <c r="AFY19" s="353"/>
      <c r="AFZ19" s="353"/>
      <c r="AGA19" s="353"/>
      <c r="AGB19" s="353"/>
      <c r="AGC19" s="337"/>
      <c r="AGD19" s="338"/>
      <c r="AGE19" s="338" t="s">
        <v>1997</v>
      </c>
      <c r="AGF19" s="338">
        <v>1</v>
      </c>
      <c r="AGG19" s="338"/>
      <c r="AGH19" s="338"/>
      <c r="AGI19" s="338"/>
      <c r="AGJ19" s="338"/>
      <c r="AGK19" s="338"/>
      <c r="AGL19" s="338"/>
      <c r="AGT19" s="351"/>
      <c r="AGU19" s="351"/>
      <c r="AGV19" s="351"/>
      <c r="AGW19" s="351"/>
      <c r="AGX19" s="351"/>
      <c r="AGY19" s="352" t="s">
        <v>2002</v>
      </c>
      <c r="AGZ19" s="352"/>
      <c r="AHA19" s="352"/>
      <c r="AHB19" s="353"/>
      <c r="AHC19" s="353"/>
      <c r="AHD19" s="353"/>
      <c r="AHE19" s="353"/>
      <c r="AHF19" s="353"/>
      <c r="AHG19" s="337"/>
      <c r="AHH19" s="338"/>
      <c r="AHI19" s="338" t="s">
        <v>1997</v>
      </c>
      <c r="AHJ19" s="338">
        <v>1</v>
      </c>
      <c r="AHK19" s="338"/>
      <c r="AHL19" s="338"/>
      <c r="AHM19" s="338"/>
      <c r="AHN19" s="338"/>
      <c r="AHO19" s="338"/>
      <c r="AHP19" s="338"/>
      <c r="AHX19" s="351"/>
      <c r="AHY19" s="351"/>
      <c r="AHZ19" s="351"/>
      <c r="AIA19" s="351"/>
      <c r="AIB19" s="351"/>
      <c r="AIC19" s="352" t="s">
        <v>2002</v>
      </c>
      <c r="AID19" s="352"/>
      <c r="AIE19" s="352"/>
      <c r="AIF19" s="353"/>
      <c r="AIG19" s="353"/>
      <c r="AIH19" s="353"/>
      <c r="AII19" s="353"/>
      <c r="AIJ19" s="353"/>
      <c r="AIK19" s="337"/>
      <c r="AIL19" s="338"/>
      <c r="AIM19" s="338" t="s">
        <v>1997</v>
      </c>
      <c r="AIN19" s="338">
        <v>1</v>
      </c>
      <c r="AIO19" s="338"/>
      <c r="AIP19" s="338"/>
      <c r="AIQ19" s="338"/>
      <c r="AIR19" s="338"/>
      <c r="AIS19" s="338"/>
      <c r="AIT19" s="338"/>
      <c r="AJB19" s="351"/>
      <c r="AJC19" s="351"/>
      <c r="AJD19" s="351"/>
      <c r="AJE19" s="351"/>
      <c r="AJF19" s="351"/>
      <c r="AJG19" s="352" t="s">
        <v>2002</v>
      </c>
      <c r="AJH19" s="352"/>
      <c r="AJI19" s="352"/>
      <c r="AJJ19" s="353"/>
      <c r="AJK19" s="353"/>
      <c r="AJL19" s="353"/>
      <c r="AJM19" s="353"/>
      <c r="AJN19" s="353"/>
      <c r="AJO19" s="337"/>
      <c r="AJP19" s="338"/>
      <c r="AJQ19" s="338" t="s">
        <v>1997</v>
      </c>
      <c r="AJR19" s="338">
        <v>1</v>
      </c>
      <c r="AJS19" s="338"/>
      <c r="AJT19" s="338"/>
      <c r="AJU19" s="338"/>
      <c r="AJV19" s="338"/>
      <c r="AJW19" s="338"/>
      <c r="AJX19" s="338"/>
      <c r="AKF19" s="351"/>
      <c r="AKG19" s="351"/>
      <c r="AKH19" s="351"/>
      <c r="AKI19" s="351"/>
      <c r="AKJ19" s="351"/>
      <c r="AKK19" s="352" t="s">
        <v>2002</v>
      </c>
      <c r="AKL19" s="352"/>
      <c r="AKM19" s="352"/>
      <c r="AKN19" s="353"/>
      <c r="AKO19" s="353"/>
      <c r="AKP19" s="353"/>
      <c r="AKQ19" s="353"/>
      <c r="AKR19" s="353"/>
      <c r="AKS19" s="337"/>
      <c r="AKT19" s="338"/>
      <c r="AKU19" s="338" t="s">
        <v>1997</v>
      </c>
      <c r="AKV19" s="338">
        <v>1</v>
      </c>
      <c r="AKW19" s="338"/>
      <c r="AKX19" s="338"/>
      <c r="AKY19" s="338"/>
      <c r="AKZ19" s="338"/>
      <c r="ALA19" s="338"/>
      <c r="ALB19" s="338"/>
      <c r="ALJ19" s="351"/>
      <c r="ALK19" s="351"/>
      <c r="ALL19" s="351"/>
      <c r="ALM19" s="351"/>
      <c r="ALN19" s="351"/>
      <c r="ALO19" s="352" t="s">
        <v>2002</v>
      </c>
      <c r="ALP19" s="352"/>
      <c r="ALQ19" s="352"/>
      <c r="ALR19" s="353"/>
      <c r="ALS19" s="353"/>
      <c r="ALT19" s="353"/>
      <c r="ALU19" s="353"/>
      <c r="ALV19" s="353"/>
      <c r="ALW19" s="337"/>
      <c r="ALX19" s="338"/>
      <c r="ALY19" s="338" t="s">
        <v>1997</v>
      </c>
      <c r="ALZ19" s="338">
        <v>1</v>
      </c>
      <c r="AMA19" s="338"/>
      <c r="AMB19" s="338"/>
      <c r="AMC19" s="338"/>
      <c r="AMD19" s="338"/>
      <c r="AME19" s="338"/>
      <c r="AMF19" s="338"/>
      <c r="AMG19" s="354"/>
      <c r="AMH19" s="354"/>
      <c r="AMI19" s="354"/>
      <c r="AMJ19" s="354"/>
    </row>
    <row r="20" spans="1:1024" x14ac:dyDescent="0.2">
      <c r="A20" s="335"/>
      <c r="B20" s="335"/>
      <c r="C20" s="335"/>
      <c r="D20" s="335"/>
      <c r="E20" s="335"/>
      <c r="F20" s="335"/>
      <c r="G20" s="335"/>
      <c r="H20" s="325"/>
      <c r="I20" s="325"/>
      <c r="J20" s="325"/>
      <c r="K20" s="325"/>
      <c r="L20" s="325"/>
      <c r="M20" s="352"/>
      <c r="N20" s="352"/>
      <c r="O20" s="352"/>
      <c r="P20" s="353"/>
      <c r="Q20" s="353"/>
      <c r="R20" s="353"/>
      <c r="S20" s="353"/>
      <c r="T20" s="353"/>
      <c r="U20" s="337"/>
      <c r="AE20" s="339"/>
      <c r="AF20" s="339"/>
      <c r="AG20" s="339"/>
      <c r="AH20" s="339"/>
      <c r="AI20" s="339"/>
      <c r="AJ20" s="339"/>
      <c r="AK20" s="339"/>
      <c r="AL20" s="330"/>
      <c r="AM20" s="330"/>
      <c r="AN20" s="330"/>
      <c r="AO20" s="330"/>
      <c r="AP20" s="330"/>
      <c r="AQ20" s="331"/>
      <c r="AR20" s="331"/>
      <c r="AS20" s="331"/>
      <c r="AT20" s="349"/>
      <c r="AU20" s="349"/>
      <c r="AV20" s="349"/>
      <c r="AW20" s="349"/>
      <c r="AX20" s="349"/>
      <c r="AY20" s="337"/>
      <c r="BA20" s="338" t="str">
        <f>IF($H20&lt;&gt;"","EA","")</f>
        <v/>
      </c>
      <c r="BB20" s="338" t="str">
        <f>IF($H20&lt;&gt;"","1","")</f>
        <v/>
      </c>
      <c r="BI20" s="339"/>
      <c r="BJ20" s="339"/>
      <c r="BK20" s="339"/>
      <c r="BL20" s="339"/>
      <c r="BM20" s="339"/>
      <c r="BN20" s="339"/>
      <c r="BO20" s="339"/>
      <c r="BP20" s="330"/>
      <c r="BQ20" s="330"/>
      <c r="BR20" s="330"/>
      <c r="BS20" s="330"/>
      <c r="BT20" s="330"/>
      <c r="BU20" s="331"/>
      <c r="BV20" s="331"/>
      <c r="BW20" s="331"/>
      <c r="BX20" s="349"/>
      <c r="BY20" s="349"/>
      <c r="BZ20" s="349"/>
      <c r="CA20" s="349"/>
      <c r="CB20" s="349"/>
      <c r="CC20" s="337"/>
      <c r="CE20" s="338" t="str">
        <f>IF($H20&lt;&gt;"","EA","")</f>
        <v/>
      </c>
      <c r="CF20" s="338" t="str">
        <f>IF($H20&lt;&gt;"","1","")</f>
        <v/>
      </c>
      <c r="CM20" s="339"/>
      <c r="CN20" s="339"/>
      <c r="CO20" s="339"/>
      <c r="CP20" s="339"/>
      <c r="CQ20" s="339"/>
      <c r="CR20" s="339"/>
      <c r="CS20" s="339"/>
      <c r="CT20" s="330"/>
      <c r="CU20" s="330"/>
      <c r="CV20" s="330"/>
      <c r="CW20" s="330"/>
      <c r="CX20" s="330"/>
      <c r="CY20" s="331"/>
      <c r="CZ20" s="331"/>
      <c r="DA20" s="331"/>
      <c r="DB20" s="349"/>
      <c r="DC20" s="349"/>
      <c r="DD20" s="349"/>
      <c r="DE20" s="349"/>
      <c r="DF20" s="349"/>
      <c r="DG20" s="337"/>
      <c r="DI20" s="338" t="str">
        <f>IF($H20&lt;&gt;"","EA","")</f>
        <v/>
      </c>
      <c r="DJ20" s="338" t="str">
        <f>IF($H20&lt;&gt;"","1","")</f>
        <v/>
      </c>
      <c r="DQ20" s="339"/>
      <c r="DR20" s="339"/>
      <c r="DS20" s="339"/>
      <c r="DT20" s="339"/>
      <c r="DU20" s="339"/>
      <c r="DV20" s="339"/>
      <c r="DW20" s="339"/>
      <c r="DX20" s="330"/>
      <c r="DY20" s="330"/>
      <c r="DZ20" s="330"/>
      <c r="EA20" s="330"/>
      <c r="EB20" s="330"/>
      <c r="EC20" s="331"/>
      <c r="ED20" s="331"/>
      <c r="EE20" s="331"/>
      <c r="EF20" s="349"/>
      <c r="EG20" s="349"/>
      <c r="EH20" s="349"/>
      <c r="EI20" s="349"/>
      <c r="EJ20" s="349"/>
      <c r="EK20" s="337"/>
      <c r="EM20" s="338" t="str">
        <f>IF($H20&lt;&gt;"","EA","")</f>
        <v/>
      </c>
      <c r="EN20" s="338" t="str">
        <f>IF($H20&lt;&gt;"","1","")</f>
        <v/>
      </c>
      <c r="EU20" s="339"/>
      <c r="EV20" s="339"/>
      <c r="EW20" s="339"/>
      <c r="EX20" s="339"/>
      <c r="EY20" s="339"/>
      <c r="EZ20" s="339"/>
      <c r="FA20" s="339"/>
      <c r="FB20" s="330"/>
      <c r="FC20" s="330"/>
      <c r="FD20" s="330"/>
      <c r="FE20" s="330"/>
      <c r="FF20" s="330"/>
      <c r="FG20" s="331"/>
      <c r="FH20" s="331"/>
      <c r="FI20" s="331"/>
      <c r="FJ20" s="349"/>
      <c r="FK20" s="349"/>
      <c r="FL20" s="349"/>
      <c r="FM20" s="349"/>
      <c r="FN20" s="349"/>
      <c r="FO20" s="337"/>
      <c r="FQ20" s="338" t="str">
        <f>IF($H20&lt;&gt;"","EA","")</f>
        <v/>
      </c>
      <c r="FR20" s="338" t="str">
        <f>IF($H20&lt;&gt;"","1","")</f>
        <v/>
      </c>
      <c r="FY20" s="339"/>
      <c r="FZ20" s="339"/>
      <c r="GA20" s="339"/>
      <c r="GB20" s="339"/>
      <c r="GC20" s="339"/>
      <c r="GD20" s="339"/>
      <c r="GE20" s="339"/>
      <c r="GF20" s="330"/>
      <c r="GG20" s="330"/>
      <c r="GH20" s="330"/>
      <c r="GI20" s="330"/>
      <c r="GJ20" s="330"/>
      <c r="GK20" s="331"/>
      <c r="GL20" s="331"/>
      <c r="GM20" s="331"/>
      <c r="GN20" s="349"/>
      <c r="GO20" s="349"/>
      <c r="GP20" s="349"/>
      <c r="GQ20" s="349"/>
      <c r="GR20" s="349"/>
      <c r="GS20" s="337"/>
      <c r="GU20" s="338" t="str">
        <f>IF($H20&lt;&gt;"","EA","")</f>
        <v/>
      </c>
      <c r="GV20" s="338" t="str">
        <f>IF($H20&lt;&gt;"","1","")</f>
        <v/>
      </c>
      <c r="HC20" s="335"/>
      <c r="HD20" s="335"/>
      <c r="HE20" s="335"/>
      <c r="HF20" s="335"/>
      <c r="HG20" s="335"/>
      <c r="HH20" s="335"/>
      <c r="HI20" s="335"/>
      <c r="HJ20" s="325"/>
      <c r="HK20" s="325"/>
      <c r="HL20" s="325"/>
      <c r="HM20" s="325"/>
      <c r="HN20" s="325"/>
      <c r="HO20" s="352"/>
      <c r="HP20" s="352"/>
      <c r="HQ20" s="352"/>
      <c r="HR20" s="353"/>
      <c r="HS20" s="353"/>
      <c r="HT20" s="353"/>
      <c r="HU20" s="353"/>
      <c r="HV20" s="353"/>
      <c r="HW20" s="337"/>
      <c r="IG20" s="339"/>
      <c r="IH20" s="339"/>
      <c r="II20" s="339"/>
      <c r="IJ20" s="339"/>
      <c r="IK20" s="339"/>
      <c r="IL20" s="339"/>
      <c r="IM20" s="339"/>
      <c r="IN20" s="330"/>
      <c r="IO20" s="330"/>
      <c r="IP20" s="330"/>
      <c r="IQ20" s="330"/>
      <c r="IR20" s="330"/>
      <c r="IS20" s="331"/>
      <c r="IT20" s="331"/>
      <c r="IU20" s="331"/>
      <c r="IV20" s="349"/>
      <c r="IW20" s="349"/>
      <c r="IX20" s="349"/>
      <c r="IY20" s="349"/>
      <c r="IZ20" s="349"/>
      <c r="JA20" s="337"/>
      <c r="JC20" s="338" t="str">
        <f>IF($H20&lt;&gt;"","EA","")</f>
        <v/>
      </c>
      <c r="JD20" s="338" t="str">
        <f>IF($H20&lt;&gt;"","1","")</f>
        <v/>
      </c>
      <c r="JK20" s="339"/>
      <c r="JL20" s="339"/>
      <c r="JM20" s="339"/>
      <c r="JN20" s="339"/>
      <c r="JO20" s="339"/>
      <c r="JP20" s="339"/>
      <c r="JQ20" s="339"/>
      <c r="JR20" s="330"/>
      <c r="JS20" s="330"/>
      <c r="JT20" s="330"/>
      <c r="JU20" s="330"/>
      <c r="JV20" s="330"/>
      <c r="JW20" s="331"/>
      <c r="JX20" s="331"/>
      <c r="JY20" s="331"/>
      <c r="JZ20" s="349"/>
      <c r="KA20" s="349"/>
      <c r="KB20" s="349"/>
      <c r="KC20" s="349"/>
      <c r="KD20" s="349"/>
      <c r="KE20" s="337"/>
      <c r="KG20" s="338" t="str">
        <f>IF($H20&lt;&gt;"","EA","")</f>
        <v/>
      </c>
      <c r="KH20" s="338" t="str">
        <f>IF($H20&lt;&gt;"","1","")</f>
        <v/>
      </c>
      <c r="KO20" s="339"/>
      <c r="KP20" s="339"/>
      <c r="KQ20" s="339"/>
      <c r="KR20" s="339"/>
      <c r="KS20" s="339"/>
      <c r="KT20" s="339"/>
      <c r="KU20" s="339"/>
      <c r="KV20" s="330"/>
      <c r="KW20" s="330"/>
      <c r="KX20" s="330"/>
      <c r="KY20" s="330"/>
      <c r="KZ20" s="330"/>
      <c r="LA20" s="331"/>
      <c r="LB20" s="331"/>
      <c r="LC20" s="331"/>
      <c r="LD20" s="349"/>
      <c r="LE20" s="349"/>
      <c r="LF20" s="349"/>
      <c r="LG20" s="349"/>
      <c r="LH20" s="349"/>
      <c r="LI20" s="337"/>
      <c r="LK20" s="338" t="str">
        <f>IF($H20&lt;&gt;"","EA","")</f>
        <v/>
      </c>
      <c r="LL20" s="338" t="str">
        <f>IF($H20&lt;&gt;"","1","")</f>
        <v/>
      </c>
      <c r="LS20" s="339"/>
      <c r="LT20" s="339"/>
      <c r="LU20" s="339"/>
      <c r="LV20" s="339"/>
      <c r="LW20" s="339"/>
      <c r="LX20" s="339"/>
      <c r="LY20" s="339"/>
      <c r="LZ20" s="330"/>
      <c r="MA20" s="330"/>
      <c r="MB20" s="330"/>
      <c r="MC20" s="330"/>
      <c r="MD20" s="330"/>
      <c r="ME20" s="331"/>
      <c r="MF20" s="331"/>
      <c r="MG20" s="331"/>
      <c r="MH20" s="349"/>
      <c r="MI20" s="349"/>
      <c r="MJ20" s="349"/>
      <c r="MK20" s="349"/>
      <c r="ML20" s="349"/>
      <c r="MM20" s="337"/>
      <c r="MO20" s="338" t="str">
        <f>IF($H20&lt;&gt;"","EA","")</f>
        <v/>
      </c>
      <c r="MP20" s="338" t="str">
        <f>IF($H20&lt;&gt;"","1","")</f>
        <v/>
      </c>
      <c r="MW20" s="339"/>
      <c r="MX20" s="339"/>
      <c r="MY20" s="339"/>
      <c r="MZ20" s="339"/>
      <c r="NA20" s="339"/>
      <c r="NB20" s="339"/>
      <c r="NC20" s="339"/>
      <c r="ND20" s="330"/>
      <c r="NE20" s="330"/>
      <c r="NF20" s="330"/>
      <c r="NG20" s="330"/>
      <c r="NH20" s="330"/>
      <c r="NI20" s="331"/>
      <c r="NJ20" s="331"/>
      <c r="NK20" s="331"/>
      <c r="NL20" s="349"/>
      <c r="NM20" s="349"/>
      <c r="NN20" s="349"/>
      <c r="NO20" s="349"/>
      <c r="NP20" s="349"/>
      <c r="NQ20" s="337"/>
      <c r="NS20" s="338" t="str">
        <f>IF($H20&lt;&gt;"","EA","")</f>
        <v/>
      </c>
      <c r="NT20" s="338" t="str">
        <f>IF($H20&lt;&gt;"","1","")</f>
        <v/>
      </c>
      <c r="OA20" s="339"/>
      <c r="OB20" s="339"/>
      <c r="OC20" s="339"/>
      <c r="OD20" s="339"/>
      <c r="OE20" s="339"/>
      <c r="OF20" s="339"/>
      <c r="OG20" s="339"/>
      <c r="OH20" s="330"/>
      <c r="OI20" s="330"/>
      <c r="OJ20" s="330"/>
      <c r="OK20" s="330"/>
      <c r="OL20" s="330"/>
      <c r="OM20" s="331"/>
      <c r="ON20" s="331"/>
      <c r="OO20" s="331"/>
      <c r="OP20" s="349"/>
      <c r="OQ20" s="349"/>
      <c r="OR20" s="349"/>
      <c r="OS20" s="349"/>
      <c r="OT20" s="349"/>
      <c r="OU20" s="337"/>
      <c r="OW20" s="338" t="str">
        <f>IF($H20&lt;&gt;"","EA","")</f>
        <v/>
      </c>
      <c r="OX20" s="338" t="str">
        <f>IF($H20&lt;&gt;"","1","")</f>
        <v/>
      </c>
      <c r="PE20" s="335"/>
      <c r="PF20" s="335"/>
      <c r="PG20" s="335"/>
      <c r="PH20" s="335"/>
      <c r="PI20" s="335"/>
      <c r="PJ20" s="335"/>
      <c r="PK20" s="335"/>
      <c r="PL20" s="325"/>
      <c r="PM20" s="325"/>
      <c r="PN20" s="325"/>
      <c r="PO20" s="325"/>
      <c r="PP20" s="325"/>
      <c r="PQ20" s="352"/>
      <c r="PR20" s="352"/>
      <c r="PS20" s="352"/>
      <c r="PT20" s="353"/>
      <c r="PU20" s="353"/>
      <c r="PV20" s="353"/>
      <c r="PW20" s="353"/>
      <c r="PX20" s="353"/>
      <c r="PY20" s="337"/>
      <c r="QI20" s="339"/>
      <c r="QJ20" s="339"/>
      <c r="QK20" s="339"/>
      <c r="QL20" s="339"/>
      <c r="QM20" s="339"/>
      <c r="QN20" s="339"/>
      <c r="QO20" s="339"/>
      <c r="QP20" s="330"/>
      <c r="QQ20" s="330"/>
      <c r="QR20" s="330"/>
      <c r="QS20" s="330"/>
      <c r="QT20" s="330"/>
      <c r="QU20" s="331"/>
      <c r="QV20" s="331"/>
      <c r="QW20" s="331"/>
      <c r="QX20" s="349"/>
      <c r="QY20" s="349"/>
      <c r="QZ20" s="349"/>
      <c r="RA20" s="349"/>
      <c r="RB20" s="349"/>
      <c r="RC20" s="337"/>
      <c r="RE20" s="338" t="str">
        <f>IF($H20&lt;&gt;"","EA","")</f>
        <v/>
      </c>
      <c r="RF20" s="338" t="str">
        <f>IF($H20&lt;&gt;"","1","")</f>
        <v/>
      </c>
      <c r="RM20" s="339"/>
      <c r="RN20" s="339"/>
      <c r="RO20" s="339"/>
      <c r="RP20" s="339"/>
      <c r="RQ20" s="339"/>
      <c r="RR20" s="339"/>
      <c r="RS20" s="339"/>
      <c r="RT20" s="330"/>
      <c r="RU20" s="330"/>
      <c r="RV20" s="330"/>
      <c r="RW20" s="330"/>
      <c r="RX20" s="330"/>
      <c r="RY20" s="331"/>
      <c r="RZ20" s="331"/>
      <c r="SA20" s="331"/>
      <c r="SB20" s="349"/>
      <c r="SC20" s="349"/>
      <c r="SD20" s="349"/>
      <c r="SE20" s="349"/>
      <c r="SF20" s="349"/>
      <c r="SG20" s="337"/>
      <c r="SI20" s="338" t="str">
        <f>IF($H20&lt;&gt;"","EA","")</f>
        <v/>
      </c>
      <c r="SJ20" s="338" t="str">
        <f>IF($H20&lt;&gt;"","1","")</f>
        <v/>
      </c>
      <c r="SQ20" s="339"/>
      <c r="SR20" s="339"/>
      <c r="SS20" s="339"/>
      <c r="ST20" s="339"/>
      <c r="SU20" s="339"/>
      <c r="SV20" s="339"/>
      <c r="SW20" s="339"/>
      <c r="SX20" s="330"/>
      <c r="SY20" s="330"/>
      <c r="SZ20" s="330"/>
      <c r="TA20" s="330"/>
      <c r="TB20" s="330"/>
      <c r="TC20" s="331"/>
      <c r="TD20" s="331"/>
      <c r="TE20" s="331"/>
      <c r="TF20" s="349"/>
      <c r="TG20" s="349"/>
      <c r="TH20" s="349"/>
      <c r="TI20" s="349"/>
      <c r="TJ20" s="349"/>
      <c r="TK20" s="337"/>
      <c r="TM20" s="338" t="str">
        <f>IF($H20&lt;&gt;"","EA","")</f>
        <v/>
      </c>
      <c r="TN20" s="338" t="str">
        <f>IF($H20&lt;&gt;"","1","")</f>
        <v/>
      </c>
      <c r="TU20" s="339"/>
      <c r="TV20" s="339"/>
      <c r="TW20" s="339"/>
      <c r="TX20" s="339"/>
      <c r="TY20" s="339"/>
      <c r="TZ20" s="339"/>
      <c r="UA20" s="339"/>
      <c r="UB20" s="330"/>
      <c r="UC20" s="330"/>
      <c r="UD20" s="330"/>
      <c r="UE20" s="330"/>
      <c r="UF20" s="330"/>
      <c r="UG20" s="331"/>
      <c r="UH20" s="331"/>
      <c r="UI20" s="331"/>
      <c r="UJ20" s="349"/>
      <c r="UK20" s="349"/>
      <c r="UL20" s="349"/>
      <c r="UM20" s="349"/>
      <c r="UN20" s="349"/>
      <c r="UO20" s="337"/>
      <c r="UQ20" s="338" t="str">
        <f>IF($H20&lt;&gt;"","EA","")</f>
        <v/>
      </c>
      <c r="UR20" s="338" t="str">
        <f>IF($H20&lt;&gt;"","1","")</f>
        <v/>
      </c>
      <c r="UY20" s="339"/>
      <c r="UZ20" s="339"/>
      <c r="VA20" s="339"/>
      <c r="VB20" s="339"/>
      <c r="VC20" s="339"/>
      <c r="VD20" s="339"/>
      <c r="VE20" s="339"/>
      <c r="VF20" s="330"/>
      <c r="VG20" s="330"/>
      <c r="VH20" s="330"/>
      <c r="VI20" s="330"/>
      <c r="VJ20" s="330"/>
      <c r="VK20" s="331"/>
      <c r="VL20" s="331"/>
      <c r="VM20" s="331"/>
      <c r="VN20" s="349"/>
      <c r="VO20" s="349"/>
      <c r="VP20" s="349"/>
      <c r="VQ20" s="349"/>
      <c r="VR20" s="349"/>
      <c r="VS20" s="337"/>
      <c r="VU20" s="338" t="str">
        <f>IF($H20&lt;&gt;"","EA","")</f>
        <v/>
      </c>
      <c r="VV20" s="338" t="str">
        <f>IF($H20&lt;&gt;"","1","")</f>
        <v/>
      </c>
      <c r="WC20" s="339"/>
      <c r="WD20" s="339"/>
      <c r="WE20" s="339"/>
      <c r="WF20" s="339"/>
      <c r="WG20" s="339"/>
      <c r="WH20" s="339"/>
      <c r="WI20" s="339"/>
      <c r="WJ20" s="330"/>
      <c r="WK20" s="330"/>
      <c r="WL20" s="330"/>
      <c r="WM20" s="330"/>
      <c r="WN20" s="330"/>
      <c r="WO20" s="331"/>
      <c r="WP20" s="331"/>
      <c r="WQ20" s="331"/>
      <c r="WR20" s="349"/>
      <c r="WS20" s="349"/>
      <c r="WT20" s="349"/>
      <c r="WU20" s="349"/>
      <c r="WV20" s="349"/>
      <c r="WW20" s="337"/>
      <c r="WY20" s="338" t="str">
        <f>IF($H20&lt;&gt;"","EA","")</f>
        <v/>
      </c>
      <c r="WZ20" s="338" t="str">
        <f>IF($H20&lt;&gt;"","1","")</f>
        <v/>
      </c>
      <c r="XG20" s="335"/>
      <c r="XH20" s="335"/>
      <c r="XI20" s="335"/>
      <c r="XJ20" s="335"/>
      <c r="XK20" s="335"/>
      <c r="XL20" s="335"/>
      <c r="XM20" s="335"/>
      <c r="XN20" s="325"/>
      <c r="XO20" s="325"/>
      <c r="XP20" s="325"/>
      <c r="XQ20" s="325"/>
      <c r="XR20" s="325"/>
      <c r="XS20" s="352"/>
      <c r="XT20" s="352"/>
      <c r="XU20" s="352"/>
      <c r="XV20" s="353"/>
      <c r="XW20" s="353"/>
      <c r="XX20" s="353"/>
      <c r="XY20" s="353"/>
      <c r="XZ20" s="353"/>
      <c r="YA20" s="337"/>
      <c r="YK20" s="339"/>
      <c r="YL20" s="339"/>
      <c r="YM20" s="339"/>
      <c r="YN20" s="339"/>
      <c r="YO20" s="339"/>
      <c r="YP20" s="339"/>
      <c r="YQ20" s="339"/>
      <c r="YR20" s="330"/>
      <c r="YS20" s="330"/>
      <c r="YT20" s="330"/>
      <c r="YU20" s="330"/>
      <c r="YV20" s="330"/>
      <c r="YW20" s="331"/>
      <c r="YX20" s="331"/>
      <c r="YY20" s="331"/>
      <c r="YZ20" s="349"/>
      <c r="ZA20" s="349"/>
      <c r="ZB20" s="349"/>
      <c r="ZC20" s="349"/>
      <c r="ZD20" s="349"/>
      <c r="ZE20" s="337"/>
      <c r="ZG20" s="338" t="str">
        <f>IF($H20&lt;&gt;"","EA","")</f>
        <v/>
      </c>
      <c r="ZH20" s="338" t="str">
        <f>IF($H20&lt;&gt;"","1","")</f>
        <v/>
      </c>
      <c r="ZO20" s="339"/>
      <c r="ZP20" s="339"/>
      <c r="ZQ20" s="339"/>
      <c r="ZR20" s="339"/>
      <c r="ZS20" s="339"/>
      <c r="ZT20" s="339"/>
      <c r="ZU20" s="339"/>
      <c r="ZV20" s="330"/>
      <c r="ZW20" s="330"/>
      <c r="ZX20" s="330"/>
      <c r="ZY20" s="330"/>
      <c r="ZZ20" s="330"/>
      <c r="AAA20" s="331"/>
      <c r="AAB20" s="331"/>
      <c r="AAC20" s="331"/>
      <c r="AAD20" s="349"/>
      <c r="AAE20" s="349"/>
      <c r="AAF20" s="349"/>
      <c r="AAG20" s="349"/>
      <c r="AAH20" s="349"/>
      <c r="AAI20" s="337"/>
      <c r="AAK20" s="338" t="str">
        <f>IF($H20&lt;&gt;"","EA","")</f>
        <v/>
      </c>
      <c r="AAL20" s="338" t="str">
        <f>IF($H20&lt;&gt;"","1","")</f>
        <v/>
      </c>
      <c r="AAS20" s="339"/>
      <c r="AAT20" s="339"/>
      <c r="AAU20" s="339"/>
      <c r="AAV20" s="339"/>
      <c r="AAW20" s="339"/>
      <c r="AAX20" s="339"/>
      <c r="AAY20" s="339"/>
      <c r="AAZ20" s="330"/>
      <c r="ABA20" s="330"/>
      <c r="ABB20" s="330"/>
      <c r="ABC20" s="330"/>
      <c r="ABD20" s="330"/>
      <c r="ABE20" s="331"/>
      <c r="ABF20" s="331"/>
      <c r="ABG20" s="331"/>
      <c r="ABH20" s="349"/>
      <c r="ABI20" s="349"/>
      <c r="ABJ20" s="349"/>
      <c r="ABK20" s="349"/>
      <c r="ABL20" s="349"/>
      <c r="ABM20" s="337"/>
      <c r="ABO20" s="338" t="str">
        <f>IF($H20&lt;&gt;"","EA","")</f>
        <v/>
      </c>
      <c r="ABP20" s="338" t="str">
        <f>IF($H20&lt;&gt;"","1","")</f>
        <v/>
      </c>
      <c r="ABW20" s="339"/>
      <c r="ABX20" s="339"/>
      <c r="ABY20" s="339"/>
      <c r="ABZ20" s="339"/>
      <c r="ACA20" s="339"/>
      <c r="ACB20" s="339"/>
      <c r="ACC20" s="339"/>
      <c r="ACD20" s="330"/>
      <c r="ACE20" s="330"/>
      <c r="ACF20" s="330"/>
      <c r="ACG20" s="330"/>
      <c r="ACH20" s="330"/>
      <c r="ACI20" s="331"/>
      <c r="ACJ20" s="331"/>
      <c r="ACK20" s="331"/>
      <c r="ACL20" s="349"/>
      <c r="ACM20" s="349"/>
      <c r="ACN20" s="349"/>
      <c r="ACO20" s="349"/>
      <c r="ACP20" s="349"/>
      <c r="ACQ20" s="337"/>
      <c r="ACS20" s="338" t="str">
        <f>IF($H20&lt;&gt;"","EA","")</f>
        <v/>
      </c>
      <c r="ACT20" s="338" t="str">
        <f>IF($H20&lt;&gt;"","1","")</f>
        <v/>
      </c>
      <c r="ADA20" s="339"/>
      <c r="ADB20" s="339"/>
      <c r="ADC20" s="339"/>
      <c r="ADD20" s="339"/>
      <c r="ADE20" s="339"/>
      <c r="ADF20" s="339"/>
      <c r="ADG20" s="339"/>
      <c r="ADH20" s="330"/>
      <c r="ADI20" s="330"/>
      <c r="ADJ20" s="330"/>
      <c r="ADK20" s="330"/>
      <c r="ADL20" s="330"/>
      <c r="ADM20" s="331"/>
      <c r="ADN20" s="331"/>
      <c r="ADO20" s="331"/>
      <c r="ADP20" s="349"/>
      <c r="ADQ20" s="349"/>
      <c r="ADR20" s="349"/>
      <c r="ADS20" s="349"/>
      <c r="ADT20" s="349"/>
      <c r="ADU20" s="337"/>
      <c r="ADW20" s="338" t="str">
        <f>IF($H20&lt;&gt;"","EA","")</f>
        <v/>
      </c>
      <c r="ADX20" s="338" t="str">
        <f>IF($H20&lt;&gt;"","1","")</f>
        <v/>
      </c>
      <c r="AEE20" s="339"/>
      <c r="AEF20" s="339"/>
      <c r="AEG20" s="339"/>
      <c r="AEH20" s="339"/>
      <c r="AEI20" s="339"/>
      <c r="AEJ20" s="339"/>
      <c r="AEK20" s="339"/>
      <c r="AEL20" s="330"/>
      <c r="AEM20" s="330"/>
      <c r="AEN20" s="330"/>
      <c r="AEO20" s="330"/>
      <c r="AEP20" s="330"/>
      <c r="AEQ20" s="331"/>
      <c r="AER20" s="331"/>
      <c r="AES20" s="331"/>
      <c r="AET20" s="349"/>
      <c r="AEU20" s="349"/>
      <c r="AEV20" s="349"/>
      <c r="AEW20" s="349"/>
      <c r="AEX20" s="349"/>
      <c r="AEY20" s="337"/>
      <c r="AFA20" s="338" t="str">
        <f>IF($H20&lt;&gt;"","EA","")</f>
        <v/>
      </c>
      <c r="AFB20" s="338" t="str">
        <f>IF($H20&lt;&gt;"","1","")</f>
        <v/>
      </c>
      <c r="AFI20" s="335"/>
      <c r="AFJ20" s="335"/>
      <c r="AFK20" s="335"/>
      <c r="AFL20" s="335"/>
      <c r="AFM20" s="335"/>
      <c r="AFN20" s="335"/>
      <c r="AFO20" s="335"/>
      <c r="AFP20" s="325"/>
      <c r="AFQ20" s="325"/>
      <c r="AFR20" s="325"/>
      <c r="AFS20" s="325"/>
      <c r="AFT20" s="325"/>
      <c r="AFU20" s="352"/>
      <c r="AFV20" s="352"/>
      <c r="AFW20" s="352"/>
      <c r="AFX20" s="353"/>
      <c r="AFY20" s="353"/>
      <c r="AFZ20" s="353"/>
      <c r="AGA20" s="353"/>
      <c r="AGB20" s="353"/>
      <c r="AGC20" s="337"/>
      <c r="AGM20" s="339"/>
      <c r="AGN20" s="339"/>
      <c r="AGO20" s="339"/>
      <c r="AGP20" s="339"/>
      <c r="AGQ20" s="339"/>
      <c r="AGR20" s="339"/>
      <c r="AGS20" s="339"/>
      <c r="AGT20" s="330"/>
      <c r="AGU20" s="330"/>
      <c r="AGV20" s="330"/>
      <c r="AGW20" s="330"/>
      <c r="AGX20" s="330"/>
      <c r="AGY20" s="331"/>
      <c r="AGZ20" s="331"/>
      <c r="AHA20" s="331"/>
      <c r="AHB20" s="349"/>
      <c r="AHC20" s="349"/>
      <c r="AHD20" s="349"/>
      <c r="AHE20" s="349"/>
      <c r="AHF20" s="349"/>
      <c r="AHG20" s="337"/>
      <c r="AHI20" s="338" t="str">
        <f>IF($H20&lt;&gt;"","EA","")</f>
        <v/>
      </c>
      <c r="AHJ20" s="338" t="str">
        <f>IF($H20&lt;&gt;"","1","")</f>
        <v/>
      </c>
      <c r="AHQ20" s="339"/>
      <c r="AHR20" s="339"/>
      <c r="AHS20" s="339"/>
      <c r="AHT20" s="339"/>
      <c r="AHU20" s="339"/>
      <c r="AHV20" s="339"/>
      <c r="AHW20" s="339"/>
      <c r="AHX20" s="330"/>
      <c r="AHY20" s="330"/>
      <c r="AHZ20" s="330"/>
      <c r="AIA20" s="330"/>
      <c r="AIB20" s="330"/>
      <c r="AIC20" s="331"/>
      <c r="AID20" s="331"/>
      <c r="AIE20" s="331"/>
      <c r="AIF20" s="349"/>
      <c r="AIG20" s="349"/>
      <c r="AIH20" s="349"/>
      <c r="AII20" s="349"/>
      <c r="AIJ20" s="349"/>
      <c r="AIK20" s="337"/>
      <c r="AIM20" s="338" t="str">
        <f>IF($H20&lt;&gt;"","EA","")</f>
        <v/>
      </c>
      <c r="AIN20" s="338" t="str">
        <f>IF($H20&lt;&gt;"","1","")</f>
        <v/>
      </c>
      <c r="AIU20" s="339"/>
      <c r="AIV20" s="339"/>
      <c r="AIW20" s="339"/>
      <c r="AIX20" s="339"/>
      <c r="AIY20" s="339"/>
      <c r="AIZ20" s="339"/>
      <c r="AJA20" s="339"/>
      <c r="AJB20" s="330"/>
      <c r="AJC20" s="330"/>
      <c r="AJD20" s="330"/>
      <c r="AJE20" s="330"/>
      <c r="AJF20" s="330"/>
      <c r="AJG20" s="331"/>
      <c r="AJH20" s="331"/>
      <c r="AJI20" s="331"/>
      <c r="AJJ20" s="349"/>
      <c r="AJK20" s="349"/>
      <c r="AJL20" s="349"/>
      <c r="AJM20" s="349"/>
      <c r="AJN20" s="349"/>
      <c r="AJO20" s="337"/>
      <c r="AJQ20" s="338" t="str">
        <f>IF($H20&lt;&gt;"","EA","")</f>
        <v/>
      </c>
      <c r="AJR20" s="338" t="str">
        <f>IF($H20&lt;&gt;"","1","")</f>
        <v/>
      </c>
      <c r="AJY20" s="339"/>
      <c r="AJZ20" s="339"/>
      <c r="AKA20" s="339"/>
      <c r="AKB20" s="339"/>
      <c r="AKC20" s="339"/>
      <c r="AKD20" s="339"/>
      <c r="AKE20" s="339"/>
      <c r="AKF20" s="330"/>
      <c r="AKG20" s="330"/>
      <c r="AKH20" s="330"/>
      <c r="AKI20" s="330"/>
      <c r="AKJ20" s="330"/>
      <c r="AKK20" s="331"/>
      <c r="AKL20" s="331"/>
      <c r="AKM20" s="331"/>
      <c r="AKN20" s="349"/>
      <c r="AKO20" s="349"/>
      <c r="AKP20" s="349"/>
      <c r="AKQ20" s="349"/>
      <c r="AKR20" s="349"/>
      <c r="AKS20" s="337"/>
      <c r="AKU20" s="338" t="str">
        <f>IF($H20&lt;&gt;"","EA","")</f>
        <v/>
      </c>
      <c r="AKV20" s="338" t="str">
        <f>IF($H20&lt;&gt;"","1","")</f>
        <v/>
      </c>
      <c r="ALC20" s="339"/>
      <c r="ALD20" s="339"/>
      <c r="ALE20" s="339"/>
      <c r="ALF20" s="339"/>
      <c r="ALG20" s="339"/>
      <c r="ALH20" s="339"/>
      <c r="ALI20" s="339"/>
      <c r="ALJ20" s="330"/>
      <c r="ALK20" s="330"/>
      <c r="ALL20" s="330"/>
      <c r="ALM20" s="330"/>
      <c r="ALN20" s="330"/>
      <c r="ALO20" s="331"/>
      <c r="ALP20" s="331"/>
      <c r="ALQ20" s="331"/>
      <c r="ALR20" s="349"/>
      <c r="ALS20" s="349"/>
      <c r="ALT20" s="349"/>
      <c r="ALU20" s="349"/>
      <c r="ALV20" s="349"/>
      <c r="ALW20" s="337"/>
      <c r="ALY20" s="338" t="str">
        <f>IF($H20&lt;&gt;"","EA","")</f>
        <v/>
      </c>
      <c r="ALZ20" s="338" t="str">
        <f>IF($H20&lt;&gt;"","1","")</f>
        <v/>
      </c>
      <c r="AMG20" s="335"/>
      <c r="AMH20" s="335"/>
      <c r="AMI20" s="335"/>
      <c r="AMJ20" s="335"/>
    </row>
    <row r="21" spans="1:1024" x14ac:dyDescent="0.2">
      <c r="A21" s="355"/>
      <c r="B21" s="355"/>
      <c r="C21" s="355"/>
      <c r="D21" s="355"/>
      <c r="E21" s="355"/>
      <c r="F21" s="355"/>
      <c r="G21" s="355"/>
      <c r="H21" s="325"/>
      <c r="I21" s="325"/>
      <c r="J21" s="325"/>
      <c r="K21" s="325"/>
      <c r="L21" s="325"/>
      <c r="M21" s="352"/>
      <c r="N21" s="352"/>
      <c r="O21" s="352"/>
      <c r="P21" s="353"/>
      <c r="Q21" s="353"/>
      <c r="R21" s="353"/>
      <c r="S21" s="353"/>
      <c r="T21" s="353"/>
      <c r="U21" s="337"/>
      <c r="AE21" s="339"/>
      <c r="AF21" s="339"/>
      <c r="AG21" s="339"/>
      <c r="AH21" s="339"/>
      <c r="AI21" s="339"/>
      <c r="AJ21" s="339"/>
      <c r="AK21" s="339"/>
      <c r="AL21" s="330"/>
      <c r="AM21" s="330"/>
      <c r="AN21" s="330"/>
      <c r="AO21" s="330"/>
      <c r="AP21" s="330"/>
      <c r="AQ21" s="331"/>
      <c r="AR21" s="331"/>
      <c r="AS21" s="331"/>
      <c r="AT21" s="349"/>
      <c r="AU21" s="349"/>
      <c r="AV21" s="349"/>
      <c r="AW21" s="349"/>
      <c r="AX21" s="349"/>
      <c r="AY21" s="337"/>
      <c r="BI21" s="339"/>
      <c r="BJ21" s="339"/>
      <c r="BK21" s="339"/>
      <c r="BL21" s="339"/>
      <c r="BM21" s="339"/>
      <c r="BN21" s="339"/>
      <c r="BO21" s="339"/>
      <c r="BP21" s="330"/>
      <c r="BQ21" s="330"/>
      <c r="BR21" s="330"/>
      <c r="BS21" s="330"/>
      <c r="BT21" s="330"/>
      <c r="BU21" s="331"/>
      <c r="BV21" s="331"/>
      <c r="BW21" s="331"/>
      <c r="BX21" s="349"/>
      <c r="BY21" s="349"/>
      <c r="BZ21" s="349"/>
      <c r="CA21" s="349"/>
      <c r="CB21" s="349"/>
      <c r="CC21" s="337"/>
      <c r="CM21" s="339"/>
      <c r="CN21" s="339"/>
      <c r="CO21" s="339"/>
      <c r="CP21" s="339"/>
      <c r="CQ21" s="339"/>
      <c r="CR21" s="339"/>
      <c r="CS21" s="339"/>
      <c r="CT21" s="330"/>
      <c r="CU21" s="330"/>
      <c r="CV21" s="330"/>
      <c r="CW21" s="330"/>
      <c r="CX21" s="330"/>
      <c r="CY21" s="331"/>
      <c r="CZ21" s="331"/>
      <c r="DA21" s="331"/>
      <c r="DB21" s="349"/>
      <c r="DC21" s="349"/>
      <c r="DD21" s="349"/>
      <c r="DE21" s="349"/>
      <c r="DF21" s="349"/>
      <c r="DG21" s="337"/>
      <c r="DQ21" s="339"/>
      <c r="DR21" s="339"/>
      <c r="DS21" s="339"/>
      <c r="DT21" s="339"/>
      <c r="DU21" s="339"/>
      <c r="DV21" s="339"/>
      <c r="DW21" s="339"/>
      <c r="DX21" s="330"/>
      <c r="DY21" s="330"/>
      <c r="DZ21" s="330"/>
      <c r="EA21" s="330"/>
      <c r="EB21" s="330"/>
      <c r="EC21" s="331"/>
      <c r="ED21" s="331"/>
      <c r="EE21" s="331"/>
      <c r="EF21" s="349"/>
      <c r="EG21" s="349"/>
      <c r="EH21" s="349"/>
      <c r="EI21" s="349"/>
      <c r="EJ21" s="349"/>
      <c r="EK21" s="337"/>
      <c r="EU21" s="339"/>
      <c r="EV21" s="339"/>
      <c r="EW21" s="339"/>
      <c r="EX21" s="339"/>
      <c r="EY21" s="339"/>
      <c r="EZ21" s="339"/>
      <c r="FA21" s="339"/>
      <c r="FB21" s="330"/>
      <c r="FC21" s="330"/>
      <c r="FD21" s="330"/>
      <c r="FE21" s="330"/>
      <c r="FF21" s="330"/>
      <c r="FG21" s="331"/>
      <c r="FH21" s="331"/>
      <c r="FI21" s="331"/>
      <c r="FJ21" s="349"/>
      <c r="FK21" s="349"/>
      <c r="FL21" s="349"/>
      <c r="FM21" s="349"/>
      <c r="FN21" s="349"/>
      <c r="FO21" s="337"/>
      <c r="FY21" s="339"/>
      <c r="FZ21" s="339"/>
      <c r="GA21" s="339"/>
      <c r="GB21" s="339"/>
      <c r="GC21" s="339"/>
      <c r="GD21" s="339"/>
      <c r="GE21" s="339"/>
      <c r="GF21" s="330"/>
      <c r="GG21" s="330"/>
      <c r="GH21" s="330"/>
      <c r="GI21" s="330"/>
      <c r="GJ21" s="330"/>
      <c r="GK21" s="331"/>
      <c r="GL21" s="331"/>
      <c r="GM21" s="331"/>
      <c r="GN21" s="349"/>
      <c r="GO21" s="349"/>
      <c r="GP21" s="349"/>
      <c r="GQ21" s="349"/>
      <c r="GR21" s="349"/>
      <c r="GS21" s="337"/>
      <c r="HC21" s="355"/>
      <c r="HD21" s="355"/>
      <c r="HE21" s="355"/>
      <c r="HF21" s="355"/>
      <c r="HG21" s="355"/>
      <c r="HH21" s="355"/>
      <c r="HI21" s="355"/>
      <c r="HJ21" s="325"/>
      <c r="HK21" s="325"/>
      <c r="HL21" s="325"/>
      <c r="HM21" s="325"/>
      <c r="HN21" s="325"/>
      <c r="HO21" s="352"/>
      <c r="HP21" s="352"/>
      <c r="HQ21" s="352"/>
      <c r="HR21" s="353"/>
      <c r="HS21" s="353"/>
      <c r="HT21" s="353"/>
      <c r="HU21" s="353"/>
      <c r="HV21" s="353"/>
      <c r="HW21" s="337"/>
      <c r="IG21" s="339"/>
      <c r="IH21" s="339"/>
      <c r="II21" s="339"/>
      <c r="IJ21" s="339"/>
      <c r="IK21" s="339"/>
      <c r="IL21" s="339"/>
      <c r="IM21" s="339"/>
      <c r="IN21" s="330"/>
      <c r="IO21" s="330"/>
      <c r="IP21" s="330"/>
      <c r="IQ21" s="330"/>
      <c r="IR21" s="330"/>
      <c r="IS21" s="331"/>
      <c r="IT21" s="331"/>
      <c r="IU21" s="331"/>
      <c r="IV21" s="349"/>
      <c r="IW21" s="349"/>
      <c r="IX21" s="349"/>
      <c r="IY21" s="349"/>
      <c r="IZ21" s="349"/>
      <c r="JA21" s="337"/>
      <c r="JK21" s="339"/>
      <c r="JL21" s="339"/>
      <c r="JM21" s="339"/>
      <c r="JN21" s="339"/>
      <c r="JO21" s="339"/>
      <c r="JP21" s="339"/>
      <c r="JQ21" s="339"/>
      <c r="JR21" s="330"/>
      <c r="JS21" s="330"/>
      <c r="JT21" s="330"/>
      <c r="JU21" s="330"/>
      <c r="JV21" s="330"/>
      <c r="JW21" s="331"/>
      <c r="JX21" s="331"/>
      <c r="JY21" s="331"/>
      <c r="JZ21" s="349"/>
      <c r="KA21" s="349"/>
      <c r="KB21" s="349"/>
      <c r="KC21" s="349"/>
      <c r="KD21" s="349"/>
      <c r="KE21" s="337"/>
      <c r="KO21" s="339"/>
      <c r="KP21" s="339"/>
      <c r="KQ21" s="339"/>
      <c r="KR21" s="339"/>
      <c r="KS21" s="339"/>
      <c r="KT21" s="339"/>
      <c r="KU21" s="339"/>
      <c r="KV21" s="330"/>
      <c r="KW21" s="330"/>
      <c r="KX21" s="330"/>
      <c r="KY21" s="330"/>
      <c r="KZ21" s="330"/>
      <c r="LA21" s="331"/>
      <c r="LB21" s="331"/>
      <c r="LC21" s="331"/>
      <c r="LD21" s="349"/>
      <c r="LE21" s="349"/>
      <c r="LF21" s="349"/>
      <c r="LG21" s="349"/>
      <c r="LH21" s="349"/>
      <c r="LI21" s="337"/>
      <c r="LS21" s="339"/>
      <c r="LT21" s="339"/>
      <c r="LU21" s="339"/>
      <c r="LV21" s="339"/>
      <c r="LW21" s="339"/>
      <c r="LX21" s="339"/>
      <c r="LY21" s="339"/>
      <c r="LZ21" s="330"/>
      <c r="MA21" s="330"/>
      <c r="MB21" s="330"/>
      <c r="MC21" s="330"/>
      <c r="MD21" s="330"/>
      <c r="ME21" s="331"/>
      <c r="MF21" s="331"/>
      <c r="MG21" s="331"/>
      <c r="MH21" s="349"/>
      <c r="MI21" s="349"/>
      <c r="MJ21" s="349"/>
      <c r="MK21" s="349"/>
      <c r="ML21" s="349"/>
      <c r="MM21" s="337"/>
      <c r="MW21" s="339"/>
      <c r="MX21" s="339"/>
      <c r="MY21" s="339"/>
      <c r="MZ21" s="339"/>
      <c r="NA21" s="339"/>
      <c r="NB21" s="339"/>
      <c r="NC21" s="339"/>
      <c r="ND21" s="330"/>
      <c r="NE21" s="330"/>
      <c r="NF21" s="330"/>
      <c r="NG21" s="330"/>
      <c r="NH21" s="330"/>
      <c r="NI21" s="331"/>
      <c r="NJ21" s="331"/>
      <c r="NK21" s="331"/>
      <c r="NL21" s="349"/>
      <c r="NM21" s="349"/>
      <c r="NN21" s="349"/>
      <c r="NO21" s="349"/>
      <c r="NP21" s="349"/>
      <c r="NQ21" s="337"/>
      <c r="OA21" s="339"/>
      <c r="OB21" s="339"/>
      <c r="OC21" s="339"/>
      <c r="OD21" s="339"/>
      <c r="OE21" s="339"/>
      <c r="OF21" s="339"/>
      <c r="OG21" s="339"/>
      <c r="OH21" s="330"/>
      <c r="OI21" s="330"/>
      <c r="OJ21" s="330"/>
      <c r="OK21" s="330"/>
      <c r="OL21" s="330"/>
      <c r="OM21" s="331"/>
      <c r="ON21" s="331"/>
      <c r="OO21" s="331"/>
      <c r="OP21" s="349"/>
      <c r="OQ21" s="349"/>
      <c r="OR21" s="349"/>
      <c r="OS21" s="349"/>
      <c r="OT21" s="349"/>
      <c r="OU21" s="337"/>
      <c r="PE21" s="355"/>
      <c r="PF21" s="355"/>
      <c r="PG21" s="355"/>
      <c r="PH21" s="355"/>
      <c r="PI21" s="355"/>
      <c r="PJ21" s="355"/>
      <c r="PK21" s="355"/>
      <c r="PL21" s="325"/>
      <c r="PM21" s="325"/>
      <c r="PN21" s="325"/>
      <c r="PO21" s="325"/>
      <c r="PP21" s="325"/>
      <c r="PQ21" s="352"/>
      <c r="PR21" s="352"/>
      <c r="PS21" s="352"/>
      <c r="PT21" s="353"/>
      <c r="PU21" s="353"/>
      <c r="PV21" s="353"/>
      <c r="PW21" s="353"/>
      <c r="PX21" s="353"/>
      <c r="PY21" s="337"/>
      <c r="QI21" s="339"/>
      <c r="QJ21" s="339"/>
      <c r="QK21" s="339"/>
      <c r="QL21" s="339"/>
      <c r="QM21" s="339"/>
      <c r="QN21" s="339"/>
      <c r="QO21" s="339"/>
      <c r="QP21" s="330"/>
      <c r="QQ21" s="330"/>
      <c r="QR21" s="330"/>
      <c r="QS21" s="330"/>
      <c r="QT21" s="330"/>
      <c r="QU21" s="331"/>
      <c r="QV21" s="331"/>
      <c r="QW21" s="331"/>
      <c r="QX21" s="349"/>
      <c r="QY21" s="349"/>
      <c r="QZ21" s="349"/>
      <c r="RA21" s="349"/>
      <c r="RB21" s="349"/>
      <c r="RC21" s="337"/>
      <c r="RM21" s="339"/>
      <c r="RN21" s="339"/>
      <c r="RO21" s="339"/>
      <c r="RP21" s="339"/>
      <c r="RQ21" s="339"/>
      <c r="RR21" s="339"/>
      <c r="RS21" s="339"/>
      <c r="RT21" s="330"/>
      <c r="RU21" s="330"/>
      <c r="RV21" s="330"/>
      <c r="RW21" s="330"/>
      <c r="RX21" s="330"/>
      <c r="RY21" s="331"/>
      <c r="RZ21" s="331"/>
      <c r="SA21" s="331"/>
      <c r="SB21" s="349"/>
      <c r="SC21" s="349"/>
      <c r="SD21" s="349"/>
      <c r="SE21" s="349"/>
      <c r="SF21" s="349"/>
      <c r="SG21" s="337"/>
      <c r="SQ21" s="339"/>
      <c r="SR21" s="339"/>
      <c r="SS21" s="339"/>
      <c r="ST21" s="339"/>
      <c r="SU21" s="339"/>
      <c r="SV21" s="339"/>
      <c r="SW21" s="339"/>
      <c r="SX21" s="330"/>
      <c r="SY21" s="330"/>
      <c r="SZ21" s="330"/>
      <c r="TA21" s="330"/>
      <c r="TB21" s="330"/>
      <c r="TC21" s="331"/>
      <c r="TD21" s="331"/>
      <c r="TE21" s="331"/>
      <c r="TF21" s="349"/>
      <c r="TG21" s="349"/>
      <c r="TH21" s="349"/>
      <c r="TI21" s="349"/>
      <c r="TJ21" s="349"/>
      <c r="TK21" s="337"/>
      <c r="TU21" s="339"/>
      <c r="TV21" s="339"/>
      <c r="TW21" s="339"/>
      <c r="TX21" s="339"/>
      <c r="TY21" s="339"/>
      <c r="TZ21" s="339"/>
      <c r="UA21" s="339"/>
      <c r="UB21" s="330"/>
      <c r="UC21" s="330"/>
      <c r="UD21" s="330"/>
      <c r="UE21" s="330"/>
      <c r="UF21" s="330"/>
      <c r="UG21" s="331"/>
      <c r="UH21" s="331"/>
      <c r="UI21" s="331"/>
      <c r="UJ21" s="349"/>
      <c r="UK21" s="349"/>
      <c r="UL21" s="349"/>
      <c r="UM21" s="349"/>
      <c r="UN21" s="349"/>
      <c r="UO21" s="337"/>
      <c r="UY21" s="339"/>
      <c r="UZ21" s="339"/>
      <c r="VA21" s="339"/>
      <c r="VB21" s="339"/>
      <c r="VC21" s="339"/>
      <c r="VD21" s="339"/>
      <c r="VE21" s="339"/>
      <c r="VF21" s="330"/>
      <c r="VG21" s="330"/>
      <c r="VH21" s="330"/>
      <c r="VI21" s="330"/>
      <c r="VJ21" s="330"/>
      <c r="VK21" s="331"/>
      <c r="VL21" s="331"/>
      <c r="VM21" s="331"/>
      <c r="VN21" s="349"/>
      <c r="VO21" s="349"/>
      <c r="VP21" s="349"/>
      <c r="VQ21" s="349"/>
      <c r="VR21" s="349"/>
      <c r="VS21" s="337"/>
      <c r="WC21" s="339"/>
      <c r="WD21" s="339"/>
      <c r="WE21" s="339"/>
      <c r="WF21" s="339"/>
      <c r="WG21" s="339"/>
      <c r="WH21" s="339"/>
      <c r="WI21" s="339"/>
      <c r="WJ21" s="330"/>
      <c r="WK21" s="330"/>
      <c r="WL21" s="330"/>
      <c r="WM21" s="330"/>
      <c r="WN21" s="330"/>
      <c r="WO21" s="331"/>
      <c r="WP21" s="331"/>
      <c r="WQ21" s="331"/>
      <c r="WR21" s="349"/>
      <c r="WS21" s="349"/>
      <c r="WT21" s="349"/>
      <c r="WU21" s="349"/>
      <c r="WV21" s="349"/>
      <c r="WW21" s="337"/>
      <c r="XG21" s="355"/>
      <c r="XH21" s="355"/>
      <c r="XI21" s="355"/>
      <c r="XJ21" s="355"/>
      <c r="XK21" s="355"/>
      <c r="XL21" s="355"/>
      <c r="XM21" s="355"/>
      <c r="XN21" s="325"/>
      <c r="XO21" s="325"/>
      <c r="XP21" s="325"/>
      <c r="XQ21" s="325"/>
      <c r="XR21" s="325"/>
      <c r="XS21" s="352"/>
      <c r="XT21" s="352"/>
      <c r="XU21" s="352"/>
      <c r="XV21" s="353"/>
      <c r="XW21" s="353"/>
      <c r="XX21" s="353"/>
      <c r="XY21" s="353"/>
      <c r="XZ21" s="353"/>
      <c r="YA21" s="337"/>
      <c r="YK21" s="339"/>
      <c r="YL21" s="339"/>
      <c r="YM21" s="339"/>
      <c r="YN21" s="339"/>
      <c r="YO21" s="339"/>
      <c r="YP21" s="339"/>
      <c r="YQ21" s="339"/>
      <c r="YR21" s="330"/>
      <c r="YS21" s="330"/>
      <c r="YT21" s="330"/>
      <c r="YU21" s="330"/>
      <c r="YV21" s="330"/>
      <c r="YW21" s="331"/>
      <c r="YX21" s="331"/>
      <c r="YY21" s="331"/>
      <c r="YZ21" s="349"/>
      <c r="ZA21" s="349"/>
      <c r="ZB21" s="349"/>
      <c r="ZC21" s="349"/>
      <c r="ZD21" s="349"/>
      <c r="ZE21" s="337"/>
      <c r="ZO21" s="339"/>
      <c r="ZP21" s="339"/>
      <c r="ZQ21" s="339"/>
      <c r="ZR21" s="339"/>
      <c r="ZS21" s="339"/>
      <c r="ZT21" s="339"/>
      <c r="ZU21" s="339"/>
      <c r="ZV21" s="330"/>
      <c r="ZW21" s="330"/>
      <c r="ZX21" s="330"/>
      <c r="ZY21" s="330"/>
      <c r="ZZ21" s="330"/>
      <c r="AAA21" s="331"/>
      <c r="AAB21" s="331"/>
      <c r="AAC21" s="331"/>
      <c r="AAD21" s="349"/>
      <c r="AAE21" s="349"/>
      <c r="AAF21" s="349"/>
      <c r="AAG21" s="349"/>
      <c r="AAH21" s="349"/>
      <c r="AAI21" s="337"/>
      <c r="AAS21" s="339"/>
      <c r="AAT21" s="339"/>
      <c r="AAU21" s="339"/>
      <c r="AAV21" s="339"/>
      <c r="AAW21" s="339"/>
      <c r="AAX21" s="339"/>
      <c r="AAY21" s="339"/>
      <c r="AAZ21" s="330"/>
      <c r="ABA21" s="330"/>
      <c r="ABB21" s="330"/>
      <c r="ABC21" s="330"/>
      <c r="ABD21" s="330"/>
      <c r="ABE21" s="331"/>
      <c r="ABF21" s="331"/>
      <c r="ABG21" s="331"/>
      <c r="ABH21" s="349"/>
      <c r="ABI21" s="349"/>
      <c r="ABJ21" s="349"/>
      <c r="ABK21" s="349"/>
      <c r="ABL21" s="349"/>
      <c r="ABM21" s="337"/>
      <c r="ABW21" s="339"/>
      <c r="ABX21" s="339"/>
      <c r="ABY21" s="339"/>
      <c r="ABZ21" s="339"/>
      <c r="ACA21" s="339"/>
      <c r="ACB21" s="339"/>
      <c r="ACC21" s="339"/>
      <c r="ACD21" s="330"/>
      <c r="ACE21" s="330"/>
      <c r="ACF21" s="330"/>
      <c r="ACG21" s="330"/>
      <c r="ACH21" s="330"/>
      <c r="ACI21" s="331"/>
      <c r="ACJ21" s="331"/>
      <c r="ACK21" s="331"/>
      <c r="ACL21" s="349"/>
      <c r="ACM21" s="349"/>
      <c r="ACN21" s="349"/>
      <c r="ACO21" s="349"/>
      <c r="ACP21" s="349"/>
      <c r="ACQ21" s="337"/>
      <c r="ADA21" s="339"/>
      <c r="ADB21" s="339"/>
      <c r="ADC21" s="339"/>
      <c r="ADD21" s="339"/>
      <c r="ADE21" s="339"/>
      <c r="ADF21" s="339"/>
      <c r="ADG21" s="339"/>
      <c r="ADH21" s="330"/>
      <c r="ADI21" s="330"/>
      <c r="ADJ21" s="330"/>
      <c r="ADK21" s="330"/>
      <c r="ADL21" s="330"/>
      <c r="ADM21" s="331"/>
      <c r="ADN21" s="331"/>
      <c r="ADO21" s="331"/>
      <c r="ADP21" s="349"/>
      <c r="ADQ21" s="349"/>
      <c r="ADR21" s="349"/>
      <c r="ADS21" s="349"/>
      <c r="ADT21" s="349"/>
      <c r="ADU21" s="337"/>
      <c r="AEE21" s="339"/>
      <c r="AEF21" s="339"/>
      <c r="AEG21" s="339"/>
      <c r="AEH21" s="339"/>
      <c r="AEI21" s="339"/>
      <c r="AEJ21" s="339"/>
      <c r="AEK21" s="339"/>
      <c r="AEL21" s="330"/>
      <c r="AEM21" s="330"/>
      <c r="AEN21" s="330"/>
      <c r="AEO21" s="330"/>
      <c r="AEP21" s="330"/>
      <c r="AEQ21" s="331"/>
      <c r="AER21" s="331"/>
      <c r="AES21" s="331"/>
      <c r="AET21" s="349"/>
      <c r="AEU21" s="349"/>
      <c r="AEV21" s="349"/>
      <c r="AEW21" s="349"/>
      <c r="AEX21" s="349"/>
      <c r="AEY21" s="337"/>
      <c r="AFI21" s="355"/>
      <c r="AFJ21" s="355"/>
      <c r="AFK21" s="355"/>
      <c r="AFL21" s="355"/>
      <c r="AFM21" s="355"/>
      <c r="AFN21" s="355"/>
      <c r="AFO21" s="355"/>
      <c r="AFP21" s="325"/>
      <c r="AFQ21" s="325"/>
      <c r="AFR21" s="325"/>
      <c r="AFS21" s="325"/>
      <c r="AFT21" s="325"/>
      <c r="AFU21" s="352"/>
      <c r="AFV21" s="352"/>
      <c r="AFW21" s="352"/>
      <c r="AFX21" s="353"/>
      <c r="AFY21" s="353"/>
      <c r="AFZ21" s="353"/>
      <c r="AGA21" s="353"/>
      <c r="AGB21" s="353"/>
      <c r="AGC21" s="337"/>
      <c r="AGM21" s="339"/>
      <c r="AGN21" s="339"/>
      <c r="AGO21" s="339"/>
      <c r="AGP21" s="339"/>
      <c r="AGQ21" s="339"/>
      <c r="AGR21" s="339"/>
      <c r="AGS21" s="339"/>
      <c r="AGT21" s="330"/>
      <c r="AGU21" s="330"/>
      <c r="AGV21" s="330"/>
      <c r="AGW21" s="330"/>
      <c r="AGX21" s="330"/>
      <c r="AGY21" s="331"/>
      <c r="AGZ21" s="331"/>
      <c r="AHA21" s="331"/>
      <c r="AHB21" s="349"/>
      <c r="AHC21" s="349"/>
      <c r="AHD21" s="349"/>
      <c r="AHE21" s="349"/>
      <c r="AHF21" s="349"/>
      <c r="AHG21" s="337"/>
      <c r="AHQ21" s="339"/>
      <c r="AHR21" s="339"/>
      <c r="AHS21" s="339"/>
      <c r="AHT21" s="339"/>
      <c r="AHU21" s="339"/>
      <c r="AHV21" s="339"/>
      <c r="AHW21" s="339"/>
      <c r="AHX21" s="330"/>
      <c r="AHY21" s="330"/>
      <c r="AHZ21" s="330"/>
      <c r="AIA21" s="330"/>
      <c r="AIB21" s="330"/>
      <c r="AIC21" s="331"/>
      <c r="AID21" s="331"/>
      <c r="AIE21" s="331"/>
      <c r="AIF21" s="349"/>
      <c r="AIG21" s="349"/>
      <c r="AIH21" s="349"/>
      <c r="AII21" s="349"/>
      <c r="AIJ21" s="349"/>
      <c r="AIK21" s="337"/>
      <c r="AIU21" s="339"/>
      <c r="AIV21" s="339"/>
      <c r="AIW21" s="339"/>
      <c r="AIX21" s="339"/>
      <c r="AIY21" s="339"/>
      <c r="AIZ21" s="339"/>
      <c r="AJA21" s="339"/>
      <c r="AJB21" s="330"/>
      <c r="AJC21" s="330"/>
      <c r="AJD21" s="330"/>
      <c r="AJE21" s="330"/>
      <c r="AJF21" s="330"/>
      <c r="AJG21" s="331"/>
      <c r="AJH21" s="331"/>
      <c r="AJI21" s="331"/>
      <c r="AJJ21" s="349"/>
      <c r="AJK21" s="349"/>
      <c r="AJL21" s="349"/>
      <c r="AJM21" s="349"/>
      <c r="AJN21" s="349"/>
      <c r="AJO21" s="337"/>
      <c r="AJY21" s="339"/>
      <c r="AJZ21" s="339"/>
      <c r="AKA21" s="339"/>
      <c r="AKB21" s="339"/>
      <c r="AKC21" s="339"/>
      <c r="AKD21" s="339"/>
      <c r="AKE21" s="339"/>
      <c r="AKF21" s="330"/>
      <c r="AKG21" s="330"/>
      <c r="AKH21" s="330"/>
      <c r="AKI21" s="330"/>
      <c r="AKJ21" s="330"/>
      <c r="AKK21" s="331"/>
      <c r="AKL21" s="331"/>
      <c r="AKM21" s="331"/>
      <c r="AKN21" s="349"/>
      <c r="AKO21" s="349"/>
      <c r="AKP21" s="349"/>
      <c r="AKQ21" s="349"/>
      <c r="AKR21" s="349"/>
      <c r="AKS21" s="337"/>
      <c r="ALC21" s="339"/>
      <c r="ALD21" s="339"/>
      <c r="ALE21" s="339"/>
      <c r="ALF21" s="339"/>
      <c r="ALG21" s="339"/>
      <c r="ALH21" s="339"/>
      <c r="ALI21" s="339"/>
      <c r="ALJ21" s="330"/>
      <c r="ALK21" s="330"/>
      <c r="ALL21" s="330"/>
      <c r="ALM21" s="330"/>
      <c r="ALN21" s="330"/>
      <c r="ALO21" s="331"/>
      <c r="ALP21" s="331"/>
      <c r="ALQ21" s="331"/>
      <c r="ALR21" s="349"/>
      <c r="ALS21" s="349"/>
      <c r="ALT21" s="349"/>
      <c r="ALU21" s="349"/>
      <c r="ALV21" s="349"/>
      <c r="ALW21" s="337"/>
      <c r="AMG21" s="335"/>
      <c r="AMH21" s="335"/>
      <c r="AMI21" s="335"/>
      <c r="AMJ21" s="335"/>
    </row>
    <row r="22" spans="1:1024" x14ac:dyDescent="0.2">
      <c r="A22" s="335"/>
      <c r="B22" s="335"/>
      <c r="C22" s="335"/>
      <c r="D22" s="335"/>
      <c r="E22" s="335"/>
      <c r="F22" s="335"/>
      <c r="G22" s="335"/>
      <c r="H22" s="325"/>
      <c r="I22" s="325"/>
      <c r="J22" s="325"/>
      <c r="K22" s="325"/>
      <c r="L22" s="325"/>
      <c r="M22" s="352"/>
      <c r="N22" s="352"/>
      <c r="O22" s="352"/>
      <c r="P22" s="353"/>
      <c r="Q22" s="353"/>
      <c r="R22" s="353"/>
      <c r="S22" s="353"/>
      <c r="T22" s="353"/>
      <c r="U22" s="337"/>
      <c r="AE22" s="339"/>
      <c r="AF22" s="339"/>
      <c r="AG22" s="339"/>
      <c r="AH22" s="339"/>
      <c r="AI22" s="339"/>
      <c r="AJ22" s="339"/>
      <c r="AK22" s="339"/>
      <c r="AL22" s="330"/>
      <c r="AM22" s="330"/>
      <c r="AN22" s="330"/>
      <c r="AO22" s="330"/>
      <c r="AP22" s="330"/>
      <c r="AQ22" s="331"/>
      <c r="AR22" s="331"/>
      <c r="AS22" s="331"/>
      <c r="AT22" s="349"/>
      <c r="AU22" s="349"/>
      <c r="AV22" s="349"/>
      <c r="AW22" s="349"/>
      <c r="AX22" s="349"/>
      <c r="AY22" s="337"/>
      <c r="BI22" s="339"/>
      <c r="BJ22" s="339"/>
      <c r="BK22" s="339"/>
      <c r="BL22" s="339"/>
      <c r="BM22" s="339"/>
      <c r="BN22" s="339"/>
      <c r="BO22" s="339"/>
      <c r="BP22" s="330"/>
      <c r="BQ22" s="330"/>
      <c r="BR22" s="330"/>
      <c r="BS22" s="330"/>
      <c r="BT22" s="330"/>
      <c r="BU22" s="331"/>
      <c r="BV22" s="331"/>
      <c r="BW22" s="331"/>
      <c r="BX22" s="349"/>
      <c r="BY22" s="349"/>
      <c r="BZ22" s="349"/>
      <c r="CA22" s="349"/>
      <c r="CB22" s="349"/>
      <c r="CC22" s="337"/>
      <c r="CM22" s="339"/>
      <c r="CN22" s="339"/>
      <c r="CO22" s="339"/>
      <c r="CP22" s="339"/>
      <c r="CQ22" s="339"/>
      <c r="CR22" s="339"/>
      <c r="CS22" s="339"/>
      <c r="CT22" s="330"/>
      <c r="CU22" s="330"/>
      <c r="CV22" s="330"/>
      <c r="CW22" s="330"/>
      <c r="CX22" s="330"/>
      <c r="CY22" s="331"/>
      <c r="CZ22" s="331"/>
      <c r="DA22" s="331"/>
      <c r="DB22" s="349"/>
      <c r="DC22" s="349"/>
      <c r="DD22" s="349"/>
      <c r="DE22" s="349"/>
      <c r="DF22" s="349"/>
      <c r="DG22" s="337"/>
      <c r="DQ22" s="339"/>
      <c r="DR22" s="339"/>
      <c r="DS22" s="339"/>
      <c r="DT22" s="339"/>
      <c r="DU22" s="339"/>
      <c r="DV22" s="339"/>
      <c r="DW22" s="339"/>
      <c r="DX22" s="330"/>
      <c r="DY22" s="330"/>
      <c r="DZ22" s="330"/>
      <c r="EA22" s="330"/>
      <c r="EB22" s="330"/>
      <c r="EC22" s="331"/>
      <c r="ED22" s="331"/>
      <c r="EE22" s="331"/>
      <c r="EF22" s="349"/>
      <c r="EG22" s="349"/>
      <c r="EH22" s="349"/>
      <c r="EI22" s="349"/>
      <c r="EJ22" s="349"/>
      <c r="EK22" s="337"/>
      <c r="EU22" s="339"/>
      <c r="EV22" s="339"/>
      <c r="EW22" s="339"/>
      <c r="EX22" s="339"/>
      <c r="EY22" s="339"/>
      <c r="EZ22" s="339"/>
      <c r="FA22" s="339"/>
      <c r="FB22" s="330"/>
      <c r="FC22" s="330"/>
      <c r="FD22" s="330"/>
      <c r="FE22" s="330"/>
      <c r="FF22" s="330"/>
      <c r="FG22" s="331"/>
      <c r="FH22" s="331"/>
      <c r="FI22" s="331"/>
      <c r="FJ22" s="349"/>
      <c r="FK22" s="349"/>
      <c r="FL22" s="349"/>
      <c r="FM22" s="349"/>
      <c r="FN22" s="349"/>
      <c r="FO22" s="337"/>
      <c r="FY22" s="339"/>
      <c r="FZ22" s="339"/>
      <c r="GA22" s="339"/>
      <c r="GB22" s="339"/>
      <c r="GC22" s="339"/>
      <c r="GD22" s="339"/>
      <c r="GE22" s="339"/>
      <c r="GF22" s="330"/>
      <c r="GG22" s="330"/>
      <c r="GH22" s="330"/>
      <c r="GI22" s="330"/>
      <c r="GJ22" s="330"/>
      <c r="GK22" s="331"/>
      <c r="GL22" s="331"/>
      <c r="GM22" s="331"/>
      <c r="GN22" s="349"/>
      <c r="GO22" s="349"/>
      <c r="GP22" s="349"/>
      <c r="GQ22" s="349"/>
      <c r="GR22" s="349"/>
      <c r="GS22" s="337"/>
      <c r="HC22" s="335"/>
      <c r="HD22" s="335"/>
      <c r="HE22" s="335"/>
      <c r="HF22" s="335"/>
      <c r="HG22" s="335"/>
      <c r="HH22" s="335"/>
      <c r="HI22" s="335"/>
      <c r="HJ22" s="325"/>
      <c r="HK22" s="325"/>
      <c r="HL22" s="325"/>
      <c r="HM22" s="325"/>
      <c r="HN22" s="325"/>
      <c r="HO22" s="352"/>
      <c r="HP22" s="352"/>
      <c r="HQ22" s="352"/>
      <c r="HR22" s="353"/>
      <c r="HS22" s="353"/>
      <c r="HT22" s="353"/>
      <c r="HU22" s="353"/>
      <c r="HV22" s="353"/>
      <c r="HW22" s="337"/>
      <c r="IG22" s="339"/>
      <c r="IH22" s="339"/>
      <c r="II22" s="339"/>
      <c r="IJ22" s="339"/>
      <c r="IK22" s="339"/>
      <c r="IL22" s="339"/>
      <c r="IM22" s="339"/>
      <c r="IN22" s="330"/>
      <c r="IO22" s="330"/>
      <c r="IP22" s="330"/>
      <c r="IQ22" s="330"/>
      <c r="IR22" s="330"/>
      <c r="IS22" s="331"/>
      <c r="IT22" s="331"/>
      <c r="IU22" s="331"/>
      <c r="IV22" s="349"/>
      <c r="IW22" s="349"/>
      <c r="IX22" s="349"/>
      <c r="IY22" s="349"/>
      <c r="IZ22" s="349"/>
      <c r="JA22" s="337"/>
      <c r="JK22" s="339"/>
      <c r="JL22" s="339"/>
      <c r="JM22" s="339"/>
      <c r="JN22" s="339"/>
      <c r="JO22" s="339"/>
      <c r="JP22" s="339"/>
      <c r="JQ22" s="339"/>
      <c r="JR22" s="330"/>
      <c r="JS22" s="330"/>
      <c r="JT22" s="330"/>
      <c r="JU22" s="330"/>
      <c r="JV22" s="330"/>
      <c r="JW22" s="331"/>
      <c r="JX22" s="331"/>
      <c r="JY22" s="331"/>
      <c r="JZ22" s="349"/>
      <c r="KA22" s="349"/>
      <c r="KB22" s="349"/>
      <c r="KC22" s="349"/>
      <c r="KD22" s="349"/>
      <c r="KE22" s="337"/>
      <c r="KO22" s="339"/>
      <c r="KP22" s="339"/>
      <c r="KQ22" s="339"/>
      <c r="KR22" s="339"/>
      <c r="KS22" s="339"/>
      <c r="KT22" s="339"/>
      <c r="KU22" s="339"/>
      <c r="KV22" s="330"/>
      <c r="KW22" s="330"/>
      <c r="KX22" s="330"/>
      <c r="KY22" s="330"/>
      <c r="KZ22" s="330"/>
      <c r="LA22" s="331"/>
      <c r="LB22" s="331"/>
      <c r="LC22" s="331"/>
      <c r="LD22" s="349"/>
      <c r="LE22" s="349"/>
      <c r="LF22" s="349"/>
      <c r="LG22" s="349"/>
      <c r="LH22" s="349"/>
      <c r="LI22" s="337"/>
      <c r="LS22" s="339"/>
      <c r="LT22" s="339"/>
      <c r="LU22" s="339"/>
      <c r="LV22" s="339"/>
      <c r="LW22" s="339"/>
      <c r="LX22" s="339"/>
      <c r="LY22" s="339"/>
      <c r="LZ22" s="330"/>
      <c r="MA22" s="330"/>
      <c r="MB22" s="330"/>
      <c r="MC22" s="330"/>
      <c r="MD22" s="330"/>
      <c r="ME22" s="331"/>
      <c r="MF22" s="331"/>
      <c r="MG22" s="331"/>
      <c r="MH22" s="349"/>
      <c r="MI22" s="349"/>
      <c r="MJ22" s="349"/>
      <c r="MK22" s="349"/>
      <c r="ML22" s="349"/>
      <c r="MM22" s="337"/>
      <c r="MW22" s="339"/>
      <c r="MX22" s="339"/>
      <c r="MY22" s="339"/>
      <c r="MZ22" s="339"/>
      <c r="NA22" s="339"/>
      <c r="NB22" s="339"/>
      <c r="NC22" s="339"/>
      <c r="ND22" s="330"/>
      <c r="NE22" s="330"/>
      <c r="NF22" s="330"/>
      <c r="NG22" s="330"/>
      <c r="NH22" s="330"/>
      <c r="NI22" s="331"/>
      <c r="NJ22" s="331"/>
      <c r="NK22" s="331"/>
      <c r="NL22" s="349"/>
      <c r="NM22" s="349"/>
      <c r="NN22" s="349"/>
      <c r="NO22" s="349"/>
      <c r="NP22" s="349"/>
      <c r="NQ22" s="337"/>
      <c r="OA22" s="339"/>
      <c r="OB22" s="339"/>
      <c r="OC22" s="339"/>
      <c r="OD22" s="339"/>
      <c r="OE22" s="339"/>
      <c r="OF22" s="339"/>
      <c r="OG22" s="339"/>
      <c r="OH22" s="330"/>
      <c r="OI22" s="330"/>
      <c r="OJ22" s="330"/>
      <c r="OK22" s="330"/>
      <c r="OL22" s="330"/>
      <c r="OM22" s="331"/>
      <c r="ON22" s="331"/>
      <c r="OO22" s="331"/>
      <c r="OP22" s="349"/>
      <c r="OQ22" s="349"/>
      <c r="OR22" s="349"/>
      <c r="OS22" s="349"/>
      <c r="OT22" s="349"/>
      <c r="OU22" s="337"/>
      <c r="PE22" s="335"/>
      <c r="PF22" s="335"/>
      <c r="PG22" s="335"/>
      <c r="PH22" s="335"/>
      <c r="PI22" s="335"/>
      <c r="PJ22" s="335"/>
      <c r="PK22" s="335"/>
      <c r="PL22" s="325"/>
      <c r="PM22" s="325"/>
      <c r="PN22" s="325"/>
      <c r="PO22" s="325"/>
      <c r="PP22" s="325"/>
      <c r="PQ22" s="352"/>
      <c r="PR22" s="352"/>
      <c r="PS22" s="352"/>
      <c r="PT22" s="353"/>
      <c r="PU22" s="353"/>
      <c r="PV22" s="353"/>
      <c r="PW22" s="353"/>
      <c r="PX22" s="353"/>
      <c r="PY22" s="337"/>
      <c r="QI22" s="339"/>
      <c r="QJ22" s="339"/>
      <c r="QK22" s="339"/>
      <c r="QL22" s="339"/>
      <c r="QM22" s="339"/>
      <c r="QN22" s="339"/>
      <c r="QO22" s="339"/>
      <c r="QP22" s="330"/>
      <c r="QQ22" s="330"/>
      <c r="QR22" s="330"/>
      <c r="QS22" s="330"/>
      <c r="QT22" s="330"/>
      <c r="QU22" s="331"/>
      <c r="QV22" s="331"/>
      <c r="QW22" s="331"/>
      <c r="QX22" s="349"/>
      <c r="QY22" s="349"/>
      <c r="QZ22" s="349"/>
      <c r="RA22" s="349"/>
      <c r="RB22" s="349"/>
      <c r="RC22" s="337"/>
      <c r="RM22" s="339"/>
      <c r="RN22" s="339"/>
      <c r="RO22" s="339"/>
      <c r="RP22" s="339"/>
      <c r="RQ22" s="339"/>
      <c r="RR22" s="339"/>
      <c r="RS22" s="339"/>
      <c r="RT22" s="330"/>
      <c r="RU22" s="330"/>
      <c r="RV22" s="330"/>
      <c r="RW22" s="330"/>
      <c r="RX22" s="330"/>
      <c r="RY22" s="331"/>
      <c r="RZ22" s="331"/>
      <c r="SA22" s="331"/>
      <c r="SB22" s="349"/>
      <c r="SC22" s="349"/>
      <c r="SD22" s="349"/>
      <c r="SE22" s="349"/>
      <c r="SF22" s="349"/>
      <c r="SG22" s="337"/>
      <c r="SQ22" s="339"/>
      <c r="SR22" s="339"/>
      <c r="SS22" s="339"/>
      <c r="ST22" s="339"/>
      <c r="SU22" s="339"/>
      <c r="SV22" s="339"/>
      <c r="SW22" s="339"/>
      <c r="SX22" s="330"/>
      <c r="SY22" s="330"/>
      <c r="SZ22" s="330"/>
      <c r="TA22" s="330"/>
      <c r="TB22" s="330"/>
      <c r="TC22" s="331"/>
      <c r="TD22" s="331"/>
      <c r="TE22" s="331"/>
      <c r="TF22" s="349"/>
      <c r="TG22" s="349"/>
      <c r="TH22" s="349"/>
      <c r="TI22" s="349"/>
      <c r="TJ22" s="349"/>
      <c r="TK22" s="337"/>
      <c r="TU22" s="339"/>
      <c r="TV22" s="339"/>
      <c r="TW22" s="339"/>
      <c r="TX22" s="339"/>
      <c r="TY22" s="339"/>
      <c r="TZ22" s="339"/>
      <c r="UA22" s="339"/>
      <c r="UB22" s="330"/>
      <c r="UC22" s="330"/>
      <c r="UD22" s="330"/>
      <c r="UE22" s="330"/>
      <c r="UF22" s="330"/>
      <c r="UG22" s="331"/>
      <c r="UH22" s="331"/>
      <c r="UI22" s="331"/>
      <c r="UJ22" s="349"/>
      <c r="UK22" s="349"/>
      <c r="UL22" s="349"/>
      <c r="UM22" s="349"/>
      <c r="UN22" s="349"/>
      <c r="UO22" s="337"/>
      <c r="UY22" s="339"/>
      <c r="UZ22" s="339"/>
      <c r="VA22" s="339"/>
      <c r="VB22" s="339"/>
      <c r="VC22" s="339"/>
      <c r="VD22" s="339"/>
      <c r="VE22" s="339"/>
      <c r="VF22" s="330"/>
      <c r="VG22" s="330"/>
      <c r="VH22" s="330"/>
      <c r="VI22" s="330"/>
      <c r="VJ22" s="330"/>
      <c r="VK22" s="331"/>
      <c r="VL22" s="331"/>
      <c r="VM22" s="331"/>
      <c r="VN22" s="349"/>
      <c r="VO22" s="349"/>
      <c r="VP22" s="349"/>
      <c r="VQ22" s="349"/>
      <c r="VR22" s="349"/>
      <c r="VS22" s="337"/>
      <c r="WC22" s="339"/>
      <c r="WD22" s="339"/>
      <c r="WE22" s="339"/>
      <c r="WF22" s="339"/>
      <c r="WG22" s="339"/>
      <c r="WH22" s="339"/>
      <c r="WI22" s="339"/>
      <c r="WJ22" s="330"/>
      <c r="WK22" s="330"/>
      <c r="WL22" s="330"/>
      <c r="WM22" s="330"/>
      <c r="WN22" s="330"/>
      <c r="WO22" s="331"/>
      <c r="WP22" s="331"/>
      <c r="WQ22" s="331"/>
      <c r="WR22" s="349"/>
      <c r="WS22" s="349"/>
      <c r="WT22" s="349"/>
      <c r="WU22" s="349"/>
      <c r="WV22" s="349"/>
      <c r="WW22" s="337"/>
      <c r="XG22" s="335"/>
      <c r="XH22" s="335"/>
      <c r="XI22" s="335"/>
      <c r="XJ22" s="335"/>
      <c r="XK22" s="335"/>
      <c r="XL22" s="335"/>
      <c r="XM22" s="335"/>
      <c r="XN22" s="325"/>
      <c r="XO22" s="325"/>
      <c r="XP22" s="325"/>
      <c r="XQ22" s="325"/>
      <c r="XR22" s="325"/>
      <c r="XS22" s="352"/>
      <c r="XT22" s="352"/>
      <c r="XU22" s="352"/>
      <c r="XV22" s="353"/>
      <c r="XW22" s="353"/>
      <c r="XX22" s="353"/>
      <c r="XY22" s="353"/>
      <c r="XZ22" s="353"/>
      <c r="YA22" s="337"/>
      <c r="YK22" s="339"/>
      <c r="YL22" s="339"/>
      <c r="YM22" s="339"/>
      <c r="YN22" s="339"/>
      <c r="YO22" s="339"/>
      <c r="YP22" s="339"/>
      <c r="YQ22" s="339"/>
      <c r="YR22" s="330"/>
      <c r="YS22" s="330"/>
      <c r="YT22" s="330"/>
      <c r="YU22" s="330"/>
      <c r="YV22" s="330"/>
      <c r="YW22" s="331"/>
      <c r="YX22" s="331"/>
      <c r="YY22" s="331"/>
      <c r="YZ22" s="349"/>
      <c r="ZA22" s="349"/>
      <c r="ZB22" s="349"/>
      <c r="ZC22" s="349"/>
      <c r="ZD22" s="349"/>
      <c r="ZE22" s="337"/>
      <c r="ZO22" s="339"/>
      <c r="ZP22" s="339"/>
      <c r="ZQ22" s="339"/>
      <c r="ZR22" s="339"/>
      <c r="ZS22" s="339"/>
      <c r="ZT22" s="339"/>
      <c r="ZU22" s="339"/>
      <c r="ZV22" s="330"/>
      <c r="ZW22" s="330"/>
      <c r="ZX22" s="330"/>
      <c r="ZY22" s="330"/>
      <c r="ZZ22" s="330"/>
      <c r="AAA22" s="331"/>
      <c r="AAB22" s="331"/>
      <c r="AAC22" s="331"/>
      <c r="AAD22" s="349"/>
      <c r="AAE22" s="349"/>
      <c r="AAF22" s="349"/>
      <c r="AAG22" s="349"/>
      <c r="AAH22" s="349"/>
      <c r="AAI22" s="337"/>
      <c r="AAS22" s="339"/>
      <c r="AAT22" s="339"/>
      <c r="AAU22" s="339"/>
      <c r="AAV22" s="339"/>
      <c r="AAW22" s="339"/>
      <c r="AAX22" s="339"/>
      <c r="AAY22" s="339"/>
      <c r="AAZ22" s="330"/>
      <c r="ABA22" s="330"/>
      <c r="ABB22" s="330"/>
      <c r="ABC22" s="330"/>
      <c r="ABD22" s="330"/>
      <c r="ABE22" s="331"/>
      <c r="ABF22" s="331"/>
      <c r="ABG22" s="331"/>
      <c r="ABH22" s="349"/>
      <c r="ABI22" s="349"/>
      <c r="ABJ22" s="349"/>
      <c r="ABK22" s="349"/>
      <c r="ABL22" s="349"/>
      <c r="ABM22" s="337"/>
      <c r="ABW22" s="339"/>
      <c r="ABX22" s="339"/>
      <c r="ABY22" s="339"/>
      <c r="ABZ22" s="339"/>
      <c r="ACA22" s="339"/>
      <c r="ACB22" s="339"/>
      <c r="ACC22" s="339"/>
      <c r="ACD22" s="330"/>
      <c r="ACE22" s="330"/>
      <c r="ACF22" s="330"/>
      <c r="ACG22" s="330"/>
      <c r="ACH22" s="330"/>
      <c r="ACI22" s="331"/>
      <c r="ACJ22" s="331"/>
      <c r="ACK22" s="331"/>
      <c r="ACL22" s="349"/>
      <c r="ACM22" s="349"/>
      <c r="ACN22" s="349"/>
      <c r="ACO22" s="349"/>
      <c r="ACP22" s="349"/>
      <c r="ACQ22" s="337"/>
      <c r="ADA22" s="339"/>
      <c r="ADB22" s="339"/>
      <c r="ADC22" s="339"/>
      <c r="ADD22" s="339"/>
      <c r="ADE22" s="339"/>
      <c r="ADF22" s="339"/>
      <c r="ADG22" s="339"/>
      <c r="ADH22" s="330"/>
      <c r="ADI22" s="330"/>
      <c r="ADJ22" s="330"/>
      <c r="ADK22" s="330"/>
      <c r="ADL22" s="330"/>
      <c r="ADM22" s="331"/>
      <c r="ADN22" s="331"/>
      <c r="ADO22" s="331"/>
      <c r="ADP22" s="349"/>
      <c r="ADQ22" s="349"/>
      <c r="ADR22" s="349"/>
      <c r="ADS22" s="349"/>
      <c r="ADT22" s="349"/>
      <c r="ADU22" s="337"/>
      <c r="AEE22" s="339"/>
      <c r="AEF22" s="339"/>
      <c r="AEG22" s="339"/>
      <c r="AEH22" s="339"/>
      <c r="AEI22" s="339"/>
      <c r="AEJ22" s="339"/>
      <c r="AEK22" s="339"/>
      <c r="AEL22" s="330"/>
      <c r="AEM22" s="330"/>
      <c r="AEN22" s="330"/>
      <c r="AEO22" s="330"/>
      <c r="AEP22" s="330"/>
      <c r="AEQ22" s="331"/>
      <c r="AER22" s="331"/>
      <c r="AES22" s="331"/>
      <c r="AET22" s="349"/>
      <c r="AEU22" s="349"/>
      <c r="AEV22" s="349"/>
      <c r="AEW22" s="349"/>
      <c r="AEX22" s="349"/>
      <c r="AEY22" s="337"/>
      <c r="AFI22" s="335"/>
      <c r="AFJ22" s="335"/>
      <c r="AFK22" s="335"/>
      <c r="AFL22" s="335"/>
      <c r="AFM22" s="335"/>
      <c r="AFN22" s="335"/>
      <c r="AFO22" s="335"/>
      <c r="AFP22" s="325"/>
      <c r="AFQ22" s="325"/>
      <c r="AFR22" s="325"/>
      <c r="AFS22" s="325"/>
      <c r="AFT22" s="325"/>
      <c r="AFU22" s="352"/>
      <c r="AFV22" s="352"/>
      <c r="AFW22" s="352"/>
      <c r="AFX22" s="353"/>
      <c r="AFY22" s="353"/>
      <c r="AFZ22" s="353"/>
      <c r="AGA22" s="353"/>
      <c r="AGB22" s="353"/>
      <c r="AGC22" s="337"/>
      <c r="AGM22" s="339"/>
      <c r="AGN22" s="339"/>
      <c r="AGO22" s="339"/>
      <c r="AGP22" s="339"/>
      <c r="AGQ22" s="339"/>
      <c r="AGR22" s="339"/>
      <c r="AGS22" s="339"/>
      <c r="AGT22" s="330"/>
      <c r="AGU22" s="330"/>
      <c r="AGV22" s="330"/>
      <c r="AGW22" s="330"/>
      <c r="AGX22" s="330"/>
      <c r="AGY22" s="331"/>
      <c r="AGZ22" s="331"/>
      <c r="AHA22" s="331"/>
      <c r="AHB22" s="349"/>
      <c r="AHC22" s="349"/>
      <c r="AHD22" s="349"/>
      <c r="AHE22" s="349"/>
      <c r="AHF22" s="349"/>
      <c r="AHG22" s="337"/>
      <c r="AHQ22" s="339"/>
      <c r="AHR22" s="339"/>
      <c r="AHS22" s="339"/>
      <c r="AHT22" s="339"/>
      <c r="AHU22" s="339"/>
      <c r="AHV22" s="339"/>
      <c r="AHW22" s="339"/>
      <c r="AHX22" s="330"/>
      <c r="AHY22" s="330"/>
      <c r="AHZ22" s="330"/>
      <c r="AIA22" s="330"/>
      <c r="AIB22" s="330"/>
      <c r="AIC22" s="331"/>
      <c r="AID22" s="331"/>
      <c r="AIE22" s="331"/>
      <c r="AIF22" s="349"/>
      <c r="AIG22" s="349"/>
      <c r="AIH22" s="349"/>
      <c r="AII22" s="349"/>
      <c r="AIJ22" s="349"/>
      <c r="AIK22" s="337"/>
      <c r="AIU22" s="339"/>
      <c r="AIV22" s="339"/>
      <c r="AIW22" s="339"/>
      <c r="AIX22" s="339"/>
      <c r="AIY22" s="339"/>
      <c r="AIZ22" s="339"/>
      <c r="AJA22" s="339"/>
      <c r="AJB22" s="330"/>
      <c r="AJC22" s="330"/>
      <c r="AJD22" s="330"/>
      <c r="AJE22" s="330"/>
      <c r="AJF22" s="330"/>
      <c r="AJG22" s="331"/>
      <c r="AJH22" s="331"/>
      <c r="AJI22" s="331"/>
      <c r="AJJ22" s="349"/>
      <c r="AJK22" s="349"/>
      <c r="AJL22" s="349"/>
      <c r="AJM22" s="349"/>
      <c r="AJN22" s="349"/>
      <c r="AJO22" s="337"/>
      <c r="AJY22" s="339"/>
      <c r="AJZ22" s="339"/>
      <c r="AKA22" s="339"/>
      <c r="AKB22" s="339"/>
      <c r="AKC22" s="339"/>
      <c r="AKD22" s="339"/>
      <c r="AKE22" s="339"/>
      <c r="AKF22" s="330"/>
      <c r="AKG22" s="330"/>
      <c r="AKH22" s="330"/>
      <c r="AKI22" s="330"/>
      <c r="AKJ22" s="330"/>
      <c r="AKK22" s="331"/>
      <c r="AKL22" s="331"/>
      <c r="AKM22" s="331"/>
      <c r="AKN22" s="349"/>
      <c r="AKO22" s="349"/>
      <c r="AKP22" s="349"/>
      <c r="AKQ22" s="349"/>
      <c r="AKR22" s="349"/>
      <c r="AKS22" s="337"/>
      <c r="ALC22" s="339"/>
      <c r="ALD22" s="339"/>
      <c r="ALE22" s="339"/>
      <c r="ALF22" s="339"/>
      <c r="ALG22" s="339"/>
      <c r="ALH22" s="339"/>
      <c r="ALI22" s="339"/>
      <c r="ALJ22" s="330"/>
      <c r="ALK22" s="330"/>
      <c r="ALL22" s="330"/>
      <c r="ALM22" s="330"/>
      <c r="ALN22" s="330"/>
      <c r="ALO22" s="331"/>
      <c r="ALP22" s="331"/>
      <c r="ALQ22" s="331"/>
      <c r="ALR22" s="349"/>
      <c r="ALS22" s="349"/>
      <c r="ALT22" s="349"/>
      <c r="ALU22" s="349"/>
      <c r="ALV22" s="349"/>
      <c r="ALW22" s="337"/>
      <c r="AMG22" s="335"/>
      <c r="AMH22" s="335"/>
      <c r="AMI22" s="335"/>
      <c r="AMJ22" s="335"/>
    </row>
    <row r="23" spans="1:1024" x14ac:dyDescent="0.2">
      <c r="A23" s="335"/>
      <c r="B23" s="335"/>
      <c r="C23" s="335"/>
      <c r="D23" s="335"/>
      <c r="E23" s="335"/>
      <c r="F23" s="335"/>
      <c r="G23" s="335"/>
      <c r="H23" s="325"/>
      <c r="I23" s="325"/>
      <c r="J23" s="325"/>
      <c r="K23" s="325"/>
      <c r="L23" s="325"/>
      <c r="M23" s="352"/>
      <c r="N23" s="352"/>
      <c r="O23" s="352"/>
      <c r="P23" s="353"/>
      <c r="Q23" s="353"/>
      <c r="R23" s="353"/>
      <c r="S23" s="353"/>
      <c r="T23" s="353"/>
      <c r="U23" s="337"/>
      <c r="AE23" s="339"/>
      <c r="AF23" s="339"/>
      <c r="AG23" s="339"/>
      <c r="AH23" s="339"/>
      <c r="AI23" s="339"/>
      <c r="AJ23" s="339"/>
      <c r="AK23" s="339"/>
      <c r="AL23" s="330"/>
      <c r="AM23" s="330"/>
      <c r="AN23" s="330"/>
      <c r="AO23" s="330"/>
      <c r="AP23" s="330"/>
      <c r="AQ23" s="331"/>
      <c r="AR23" s="331"/>
      <c r="AS23" s="331"/>
      <c r="AT23" s="349"/>
      <c r="AU23" s="349"/>
      <c r="AV23" s="349"/>
      <c r="AW23" s="349"/>
      <c r="AX23" s="349"/>
      <c r="AY23" s="337"/>
      <c r="BI23" s="339"/>
      <c r="BJ23" s="339"/>
      <c r="BK23" s="339"/>
      <c r="BL23" s="339"/>
      <c r="BM23" s="339"/>
      <c r="BN23" s="339"/>
      <c r="BO23" s="339"/>
      <c r="BP23" s="330"/>
      <c r="BQ23" s="330"/>
      <c r="BR23" s="330"/>
      <c r="BS23" s="330"/>
      <c r="BT23" s="330"/>
      <c r="BU23" s="331"/>
      <c r="BV23" s="331"/>
      <c r="BW23" s="331"/>
      <c r="BX23" s="349"/>
      <c r="BY23" s="349"/>
      <c r="BZ23" s="349"/>
      <c r="CA23" s="349"/>
      <c r="CB23" s="349"/>
      <c r="CC23" s="337"/>
      <c r="CM23" s="339"/>
      <c r="CN23" s="339"/>
      <c r="CO23" s="339"/>
      <c r="CP23" s="339"/>
      <c r="CQ23" s="339"/>
      <c r="CR23" s="339"/>
      <c r="CS23" s="339"/>
      <c r="CT23" s="330"/>
      <c r="CU23" s="330"/>
      <c r="CV23" s="330"/>
      <c r="CW23" s="330"/>
      <c r="CX23" s="330"/>
      <c r="CY23" s="331"/>
      <c r="CZ23" s="331"/>
      <c r="DA23" s="331"/>
      <c r="DB23" s="349"/>
      <c r="DC23" s="349"/>
      <c r="DD23" s="349"/>
      <c r="DE23" s="349"/>
      <c r="DF23" s="349"/>
      <c r="DG23" s="337"/>
      <c r="DQ23" s="339"/>
      <c r="DR23" s="339"/>
      <c r="DS23" s="339"/>
      <c r="DT23" s="339"/>
      <c r="DU23" s="339"/>
      <c r="DV23" s="339"/>
      <c r="DW23" s="339"/>
      <c r="DX23" s="330"/>
      <c r="DY23" s="330"/>
      <c r="DZ23" s="330"/>
      <c r="EA23" s="330"/>
      <c r="EB23" s="330"/>
      <c r="EC23" s="331"/>
      <c r="ED23" s="331"/>
      <c r="EE23" s="331"/>
      <c r="EF23" s="349"/>
      <c r="EG23" s="349"/>
      <c r="EH23" s="349"/>
      <c r="EI23" s="349"/>
      <c r="EJ23" s="349"/>
      <c r="EK23" s="337"/>
      <c r="EU23" s="339"/>
      <c r="EV23" s="339"/>
      <c r="EW23" s="339"/>
      <c r="EX23" s="339"/>
      <c r="EY23" s="339"/>
      <c r="EZ23" s="339"/>
      <c r="FA23" s="339"/>
      <c r="FB23" s="330"/>
      <c r="FC23" s="330"/>
      <c r="FD23" s="330"/>
      <c r="FE23" s="330"/>
      <c r="FF23" s="330"/>
      <c r="FG23" s="331"/>
      <c r="FH23" s="331"/>
      <c r="FI23" s="331"/>
      <c r="FJ23" s="349"/>
      <c r="FK23" s="349"/>
      <c r="FL23" s="349"/>
      <c r="FM23" s="349"/>
      <c r="FN23" s="349"/>
      <c r="FO23" s="337"/>
      <c r="FY23" s="339"/>
      <c r="FZ23" s="339"/>
      <c r="GA23" s="339"/>
      <c r="GB23" s="339"/>
      <c r="GC23" s="339"/>
      <c r="GD23" s="339"/>
      <c r="GE23" s="339"/>
      <c r="GF23" s="330"/>
      <c r="GG23" s="330"/>
      <c r="GH23" s="330"/>
      <c r="GI23" s="330"/>
      <c r="GJ23" s="330"/>
      <c r="GK23" s="331"/>
      <c r="GL23" s="331"/>
      <c r="GM23" s="331"/>
      <c r="GN23" s="349"/>
      <c r="GO23" s="349"/>
      <c r="GP23" s="349"/>
      <c r="GQ23" s="349"/>
      <c r="GR23" s="349"/>
      <c r="GS23" s="337"/>
      <c r="HC23" s="335"/>
      <c r="HD23" s="335"/>
      <c r="HE23" s="335"/>
      <c r="HF23" s="335"/>
      <c r="HG23" s="335"/>
      <c r="HH23" s="335"/>
      <c r="HI23" s="335"/>
      <c r="HJ23" s="325"/>
      <c r="HK23" s="325"/>
      <c r="HL23" s="325"/>
      <c r="HM23" s="325"/>
      <c r="HN23" s="325"/>
      <c r="HO23" s="352"/>
      <c r="HP23" s="352"/>
      <c r="HQ23" s="352"/>
      <c r="HR23" s="353"/>
      <c r="HS23" s="353"/>
      <c r="HT23" s="353"/>
      <c r="HU23" s="353"/>
      <c r="HV23" s="353"/>
      <c r="HW23" s="337"/>
      <c r="IG23" s="339"/>
      <c r="IH23" s="339"/>
      <c r="II23" s="339"/>
      <c r="IJ23" s="339"/>
      <c r="IK23" s="339"/>
      <c r="IL23" s="339"/>
      <c r="IM23" s="339"/>
      <c r="IN23" s="330"/>
      <c r="IO23" s="330"/>
      <c r="IP23" s="330"/>
      <c r="IQ23" s="330"/>
      <c r="IR23" s="330"/>
      <c r="IS23" s="331"/>
      <c r="IT23" s="331"/>
      <c r="IU23" s="331"/>
      <c r="IV23" s="349"/>
      <c r="IW23" s="349"/>
      <c r="IX23" s="349"/>
      <c r="IY23" s="349"/>
      <c r="IZ23" s="349"/>
      <c r="JA23" s="337"/>
      <c r="JK23" s="339"/>
      <c r="JL23" s="339"/>
      <c r="JM23" s="339"/>
      <c r="JN23" s="339"/>
      <c r="JO23" s="339"/>
      <c r="JP23" s="339"/>
      <c r="JQ23" s="339"/>
      <c r="JR23" s="330"/>
      <c r="JS23" s="330"/>
      <c r="JT23" s="330"/>
      <c r="JU23" s="330"/>
      <c r="JV23" s="330"/>
      <c r="JW23" s="331"/>
      <c r="JX23" s="331"/>
      <c r="JY23" s="331"/>
      <c r="JZ23" s="349"/>
      <c r="KA23" s="349"/>
      <c r="KB23" s="349"/>
      <c r="KC23" s="349"/>
      <c r="KD23" s="349"/>
      <c r="KE23" s="337"/>
      <c r="KO23" s="339"/>
      <c r="KP23" s="339"/>
      <c r="KQ23" s="339"/>
      <c r="KR23" s="339"/>
      <c r="KS23" s="339"/>
      <c r="KT23" s="339"/>
      <c r="KU23" s="339"/>
      <c r="KV23" s="330"/>
      <c r="KW23" s="330"/>
      <c r="KX23" s="330"/>
      <c r="KY23" s="330"/>
      <c r="KZ23" s="330"/>
      <c r="LA23" s="331"/>
      <c r="LB23" s="331"/>
      <c r="LC23" s="331"/>
      <c r="LD23" s="349"/>
      <c r="LE23" s="349"/>
      <c r="LF23" s="349"/>
      <c r="LG23" s="349"/>
      <c r="LH23" s="349"/>
      <c r="LI23" s="337"/>
      <c r="LS23" s="339"/>
      <c r="LT23" s="339"/>
      <c r="LU23" s="339"/>
      <c r="LV23" s="339"/>
      <c r="LW23" s="339"/>
      <c r="LX23" s="339"/>
      <c r="LY23" s="339"/>
      <c r="LZ23" s="330"/>
      <c r="MA23" s="330"/>
      <c r="MB23" s="330"/>
      <c r="MC23" s="330"/>
      <c r="MD23" s="330"/>
      <c r="ME23" s="331"/>
      <c r="MF23" s="331"/>
      <c r="MG23" s="331"/>
      <c r="MH23" s="349"/>
      <c r="MI23" s="349"/>
      <c r="MJ23" s="349"/>
      <c r="MK23" s="349"/>
      <c r="ML23" s="349"/>
      <c r="MM23" s="337"/>
      <c r="MW23" s="339"/>
      <c r="MX23" s="339"/>
      <c r="MY23" s="339"/>
      <c r="MZ23" s="339"/>
      <c r="NA23" s="339"/>
      <c r="NB23" s="339"/>
      <c r="NC23" s="339"/>
      <c r="ND23" s="330"/>
      <c r="NE23" s="330"/>
      <c r="NF23" s="330"/>
      <c r="NG23" s="330"/>
      <c r="NH23" s="330"/>
      <c r="NI23" s="331"/>
      <c r="NJ23" s="331"/>
      <c r="NK23" s="331"/>
      <c r="NL23" s="349"/>
      <c r="NM23" s="349"/>
      <c r="NN23" s="349"/>
      <c r="NO23" s="349"/>
      <c r="NP23" s="349"/>
      <c r="NQ23" s="337"/>
      <c r="OA23" s="339"/>
      <c r="OB23" s="339"/>
      <c r="OC23" s="339"/>
      <c r="OD23" s="339"/>
      <c r="OE23" s="339"/>
      <c r="OF23" s="339"/>
      <c r="OG23" s="339"/>
      <c r="OH23" s="330"/>
      <c r="OI23" s="330"/>
      <c r="OJ23" s="330"/>
      <c r="OK23" s="330"/>
      <c r="OL23" s="330"/>
      <c r="OM23" s="331"/>
      <c r="ON23" s="331"/>
      <c r="OO23" s="331"/>
      <c r="OP23" s="349"/>
      <c r="OQ23" s="349"/>
      <c r="OR23" s="349"/>
      <c r="OS23" s="349"/>
      <c r="OT23" s="349"/>
      <c r="OU23" s="337"/>
      <c r="PE23" s="335"/>
      <c r="PF23" s="335"/>
      <c r="PG23" s="335"/>
      <c r="PH23" s="335"/>
      <c r="PI23" s="335"/>
      <c r="PJ23" s="335"/>
      <c r="PK23" s="335"/>
      <c r="PL23" s="325"/>
      <c r="PM23" s="325"/>
      <c r="PN23" s="325"/>
      <c r="PO23" s="325"/>
      <c r="PP23" s="325"/>
      <c r="PQ23" s="352"/>
      <c r="PR23" s="352"/>
      <c r="PS23" s="352"/>
      <c r="PT23" s="353"/>
      <c r="PU23" s="353"/>
      <c r="PV23" s="353"/>
      <c r="PW23" s="353"/>
      <c r="PX23" s="353"/>
      <c r="PY23" s="337"/>
      <c r="QI23" s="339"/>
      <c r="QJ23" s="339"/>
      <c r="QK23" s="339"/>
      <c r="QL23" s="339"/>
      <c r="QM23" s="339"/>
      <c r="QN23" s="339"/>
      <c r="QO23" s="339"/>
      <c r="QP23" s="330"/>
      <c r="QQ23" s="330"/>
      <c r="QR23" s="330"/>
      <c r="QS23" s="330"/>
      <c r="QT23" s="330"/>
      <c r="QU23" s="331"/>
      <c r="QV23" s="331"/>
      <c r="QW23" s="331"/>
      <c r="QX23" s="349"/>
      <c r="QY23" s="349"/>
      <c r="QZ23" s="349"/>
      <c r="RA23" s="349"/>
      <c r="RB23" s="349"/>
      <c r="RC23" s="337"/>
      <c r="RM23" s="339"/>
      <c r="RN23" s="339"/>
      <c r="RO23" s="339"/>
      <c r="RP23" s="339"/>
      <c r="RQ23" s="339"/>
      <c r="RR23" s="339"/>
      <c r="RS23" s="339"/>
      <c r="RT23" s="330"/>
      <c r="RU23" s="330"/>
      <c r="RV23" s="330"/>
      <c r="RW23" s="330"/>
      <c r="RX23" s="330"/>
      <c r="RY23" s="331"/>
      <c r="RZ23" s="331"/>
      <c r="SA23" s="331"/>
      <c r="SB23" s="349"/>
      <c r="SC23" s="349"/>
      <c r="SD23" s="349"/>
      <c r="SE23" s="349"/>
      <c r="SF23" s="349"/>
      <c r="SG23" s="337"/>
      <c r="SQ23" s="339"/>
      <c r="SR23" s="339"/>
      <c r="SS23" s="339"/>
      <c r="ST23" s="339"/>
      <c r="SU23" s="339"/>
      <c r="SV23" s="339"/>
      <c r="SW23" s="339"/>
      <c r="SX23" s="330"/>
      <c r="SY23" s="330"/>
      <c r="SZ23" s="330"/>
      <c r="TA23" s="330"/>
      <c r="TB23" s="330"/>
      <c r="TC23" s="331"/>
      <c r="TD23" s="331"/>
      <c r="TE23" s="331"/>
      <c r="TF23" s="349"/>
      <c r="TG23" s="349"/>
      <c r="TH23" s="349"/>
      <c r="TI23" s="349"/>
      <c r="TJ23" s="349"/>
      <c r="TK23" s="337"/>
      <c r="TU23" s="339"/>
      <c r="TV23" s="339"/>
      <c r="TW23" s="339"/>
      <c r="TX23" s="339"/>
      <c r="TY23" s="339"/>
      <c r="TZ23" s="339"/>
      <c r="UA23" s="339"/>
      <c r="UB23" s="330"/>
      <c r="UC23" s="330"/>
      <c r="UD23" s="330"/>
      <c r="UE23" s="330"/>
      <c r="UF23" s="330"/>
      <c r="UG23" s="331"/>
      <c r="UH23" s="331"/>
      <c r="UI23" s="331"/>
      <c r="UJ23" s="349"/>
      <c r="UK23" s="349"/>
      <c r="UL23" s="349"/>
      <c r="UM23" s="349"/>
      <c r="UN23" s="349"/>
      <c r="UO23" s="337"/>
      <c r="UY23" s="339"/>
      <c r="UZ23" s="339"/>
      <c r="VA23" s="339"/>
      <c r="VB23" s="339"/>
      <c r="VC23" s="339"/>
      <c r="VD23" s="339"/>
      <c r="VE23" s="339"/>
      <c r="VF23" s="330"/>
      <c r="VG23" s="330"/>
      <c r="VH23" s="330"/>
      <c r="VI23" s="330"/>
      <c r="VJ23" s="330"/>
      <c r="VK23" s="331"/>
      <c r="VL23" s="331"/>
      <c r="VM23" s="331"/>
      <c r="VN23" s="349"/>
      <c r="VO23" s="349"/>
      <c r="VP23" s="349"/>
      <c r="VQ23" s="349"/>
      <c r="VR23" s="349"/>
      <c r="VS23" s="337"/>
      <c r="WC23" s="339"/>
      <c r="WD23" s="339"/>
      <c r="WE23" s="339"/>
      <c r="WF23" s="339"/>
      <c r="WG23" s="339"/>
      <c r="WH23" s="339"/>
      <c r="WI23" s="339"/>
      <c r="WJ23" s="330"/>
      <c r="WK23" s="330"/>
      <c r="WL23" s="330"/>
      <c r="WM23" s="330"/>
      <c r="WN23" s="330"/>
      <c r="WO23" s="331"/>
      <c r="WP23" s="331"/>
      <c r="WQ23" s="331"/>
      <c r="WR23" s="349"/>
      <c r="WS23" s="349"/>
      <c r="WT23" s="349"/>
      <c r="WU23" s="349"/>
      <c r="WV23" s="349"/>
      <c r="WW23" s="337"/>
      <c r="XG23" s="335"/>
      <c r="XH23" s="335"/>
      <c r="XI23" s="335"/>
      <c r="XJ23" s="335"/>
      <c r="XK23" s="335"/>
      <c r="XL23" s="335"/>
      <c r="XM23" s="335"/>
      <c r="XN23" s="325"/>
      <c r="XO23" s="325"/>
      <c r="XP23" s="325"/>
      <c r="XQ23" s="325"/>
      <c r="XR23" s="325"/>
      <c r="XS23" s="352"/>
      <c r="XT23" s="352"/>
      <c r="XU23" s="352"/>
      <c r="XV23" s="353"/>
      <c r="XW23" s="353"/>
      <c r="XX23" s="353"/>
      <c r="XY23" s="353"/>
      <c r="XZ23" s="353"/>
      <c r="YA23" s="337"/>
      <c r="YK23" s="339"/>
      <c r="YL23" s="339"/>
      <c r="YM23" s="339"/>
      <c r="YN23" s="339"/>
      <c r="YO23" s="339"/>
      <c r="YP23" s="339"/>
      <c r="YQ23" s="339"/>
      <c r="YR23" s="330"/>
      <c r="YS23" s="330"/>
      <c r="YT23" s="330"/>
      <c r="YU23" s="330"/>
      <c r="YV23" s="330"/>
      <c r="YW23" s="331"/>
      <c r="YX23" s="331"/>
      <c r="YY23" s="331"/>
      <c r="YZ23" s="349"/>
      <c r="ZA23" s="349"/>
      <c r="ZB23" s="349"/>
      <c r="ZC23" s="349"/>
      <c r="ZD23" s="349"/>
      <c r="ZE23" s="337"/>
      <c r="ZO23" s="339"/>
      <c r="ZP23" s="339"/>
      <c r="ZQ23" s="339"/>
      <c r="ZR23" s="339"/>
      <c r="ZS23" s="339"/>
      <c r="ZT23" s="339"/>
      <c r="ZU23" s="339"/>
      <c r="ZV23" s="330"/>
      <c r="ZW23" s="330"/>
      <c r="ZX23" s="330"/>
      <c r="ZY23" s="330"/>
      <c r="ZZ23" s="330"/>
      <c r="AAA23" s="331"/>
      <c r="AAB23" s="331"/>
      <c r="AAC23" s="331"/>
      <c r="AAD23" s="349"/>
      <c r="AAE23" s="349"/>
      <c r="AAF23" s="349"/>
      <c r="AAG23" s="349"/>
      <c r="AAH23" s="349"/>
      <c r="AAI23" s="337"/>
      <c r="AAS23" s="339"/>
      <c r="AAT23" s="339"/>
      <c r="AAU23" s="339"/>
      <c r="AAV23" s="339"/>
      <c r="AAW23" s="339"/>
      <c r="AAX23" s="339"/>
      <c r="AAY23" s="339"/>
      <c r="AAZ23" s="330"/>
      <c r="ABA23" s="330"/>
      <c r="ABB23" s="330"/>
      <c r="ABC23" s="330"/>
      <c r="ABD23" s="330"/>
      <c r="ABE23" s="331"/>
      <c r="ABF23" s="331"/>
      <c r="ABG23" s="331"/>
      <c r="ABH23" s="349"/>
      <c r="ABI23" s="349"/>
      <c r="ABJ23" s="349"/>
      <c r="ABK23" s="349"/>
      <c r="ABL23" s="349"/>
      <c r="ABM23" s="337"/>
      <c r="ABW23" s="339"/>
      <c r="ABX23" s="339"/>
      <c r="ABY23" s="339"/>
      <c r="ABZ23" s="339"/>
      <c r="ACA23" s="339"/>
      <c r="ACB23" s="339"/>
      <c r="ACC23" s="339"/>
      <c r="ACD23" s="330"/>
      <c r="ACE23" s="330"/>
      <c r="ACF23" s="330"/>
      <c r="ACG23" s="330"/>
      <c r="ACH23" s="330"/>
      <c r="ACI23" s="331"/>
      <c r="ACJ23" s="331"/>
      <c r="ACK23" s="331"/>
      <c r="ACL23" s="349"/>
      <c r="ACM23" s="349"/>
      <c r="ACN23" s="349"/>
      <c r="ACO23" s="349"/>
      <c r="ACP23" s="349"/>
      <c r="ACQ23" s="337"/>
      <c r="ADA23" s="339"/>
      <c r="ADB23" s="339"/>
      <c r="ADC23" s="339"/>
      <c r="ADD23" s="339"/>
      <c r="ADE23" s="339"/>
      <c r="ADF23" s="339"/>
      <c r="ADG23" s="339"/>
      <c r="ADH23" s="330"/>
      <c r="ADI23" s="330"/>
      <c r="ADJ23" s="330"/>
      <c r="ADK23" s="330"/>
      <c r="ADL23" s="330"/>
      <c r="ADM23" s="331"/>
      <c r="ADN23" s="331"/>
      <c r="ADO23" s="331"/>
      <c r="ADP23" s="349"/>
      <c r="ADQ23" s="349"/>
      <c r="ADR23" s="349"/>
      <c r="ADS23" s="349"/>
      <c r="ADT23" s="349"/>
      <c r="ADU23" s="337"/>
      <c r="AEE23" s="339"/>
      <c r="AEF23" s="339"/>
      <c r="AEG23" s="339"/>
      <c r="AEH23" s="339"/>
      <c r="AEI23" s="339"/>
      <c r="AEJ23" s="339"/>
      <c r="AEK23" s="339"/>
      <c r="AEL23" s="330"/>
      <c r="AEM23" s="330"/>
      <c r="AEN23" s="330"/>
      <c r="AEO23" s="330"/>
      <c r="AEP23" s="330"/>
      <c r="AEQ23" s="331"/>
      <c r="AER23" s="331"/>
      <c r="AES23" s="331"/>
      <c r="AET23" s="349"/>
      <c r="AEU23" s="349"/>
      <c r="AEV23" s="349"/>
      <c r="AEW23" s="349"/>
      <c r="AEX23" s="349"/>
      <c r="AEY23" s="337"/>
      <c r="AFI23" s="335"/>
      <c r="AFJ23" s="335"/>
      <c r="AFK23" s="335"/>
      <c r="AFL23" s="335"/>
      <c r="AFM23" s="335"/>
      <c r="AFN23" s="335"/>
      <c r="AFO23" s="335"/>
      <c r="AFP23" s="325"/>
      <c r="AFQ23" s="325"/>
      <c r="AFR23" s="325"/>
      <c r="AFS23" s="325"/>
      <c r="AFT23" s="325"/>
      <c r="AFU23" s="352"/>
      <c r="AFV23" s="352"/>
      <c r="AFW23" s="352"/>
      <c r="AFX23" s="353"/>
      <c r="AFY23" s="353"/>
      <c r="AFZ23" s="353"/>
      <c r="AGA23" s="353"/>
      <c r="AGB23" s="353"/>
      <c r="AGC23" s="337"/>
      <c r="AGM23" s="339"/>
      <c r="AGN23" s="339"/>
      <c r="AGO23" s="339"/>
      <c r="AGP23" s="339"/>
      <c r="AGQ23" s="339"/>
      <c r="AGR23" s="339"/>
      <c r="AGS23" s="339"/>
      <c r="AGT23" s="330"/>
      <c r="AGU23" s="330"/>
      <c r="AGV23" s="330"/>
      <c r="AGW23" s="330"/>
      <c r="AGX23" s="330"/>
      <c r="AGY23" s="331"/>
      <c r="AGZ23" s="331"/>
      <c r="AHA23" s="331"/>
      <c r="AHB23" s="349"/>
      <c r="AHC23" s="349"/>
      <c r="AHD23" s="349"/>
      <c r="AHE23" s="349"/>
      <c r="AHF23" s="349"/>
      <c r="AHG23" s="337"/>
      <c r="AHQ23" s="339"/>
      <c r="AHR23" s="339"/>
      <c r="AHS23" s="339"/>
      <c r="AHT23" s="339"/>
      <c r="AHU23" s="339"/>
      <c r="AHV23" s="339"/>
      <c r="AHW23" s="339"/>
      <c r="AHX23" s="330"/>
      <c r="AHY23" s="330"/>
      <c r="AHZ23" s="330"/>
      <c r="AIA23" s="330"/>
      <c r="AIB23" s="330"/>
      <c r="AIC23" s="331"/>
      <c r="AID23" s="331"/>
      <c r="AIE23" s="331"/>
      <c r="AIF23" s="349"/>
      <c r="AIG23" s="349"/>
      <c r="AIH23" s="349"/>
      <c r="AII23" s="349"/>
      <c r="AIJ23" s="349"/>
      <c r="AIK23" s="337"/>
      <c r="AIU23" s="339"/>
      <c r="AIV23" s="339"/>
      <c r="AIW23" s="339"/>
      <c r="AIX23" s="339"/>
      <c r="AIY23" s="339"/>
      <c r="AIZ23" s="339"/>
      <c r="AJA23" s="339"/>
      <c r="AJB23" s="330"/>
      <c r="AJC23" s="330"/>
      <c r="AJD23" s="330"/>
      <c r="AJE23" s="330"/>
      <c r="AJF23" s="330"/>
      <c r="AJG23" s="331"/>
      <c r="AJH23" s="331"/>
      <c r="AJI23" s="331"/>
      <c r="AJJ23" s="349"/>
      <c r="AJK23" s="349"/>
      <c r="AJL23" s="349"/>
      <c r="AJM23" s="349"/>
      <c r="AJN23" s="349"/>
      <c r="AJO23" s="337"/>
      <c r="AJY23" s="339"/>
      <c r="AJZ23" s="339"/>
      <c r="AKA23" s="339"/>
      <c r="AKB23" s="339"/>
      <c r="AKC23" s="339"/>
      <c r="AKD23" s="339"/>
      <c r="AKE23" s="339"/>
      <c r="AKF23" s="330"/>
      <c r="AKG23" s="330"/>
      <c r="AKH23" s="330"/>
      <c r="AKI23" s="330"/>
      <c r="AKJ23" s="330"/>
      <c r="AKK23" s="331"/>
      <c r="AKL23" s="331"/>
      <c r="AKM23" s="331"/>
      <c r="AKN23" s="349"/>
      <c r="AKO23" s="349"/>
      <c r="AKP23" s="349"/>
      <c r="AKQ23" s="349"/>
      <c r="AKR23" s="349"/>
      <c r="AKS23" s="337"/>
      <c r="ALC23" s="339"/>
      <c r="ALD23" s="339"/>
      <c r="ALE23" s="339"/>
      <c r="ALF23" s="339"/>
      <c r="ALG23" s="339"/>
      <c r="ALH23" s="339"/>
      <c r="ALI23" s="339"/>
      <c r="ALJ23" s="330"/>
      <c r="ALK23" s="330"/>
      <c r="ALL23" s="330"/>
      <c r="ALM23" s="330"/>
      <c r="ALN23" s="330"/>
      <c r="ALO23" s="331"/>
      <c r="ALP23" s="331"/>
      <c r="ALQ23" s="331"/>
      <c r="ALR23" s="349"/>
      <c r="ALS23" s="349"/>
      <c r="ALT23" s="349"/>
      <c r="ALU23" s="349"/>
      <c r="ALV23" s="349"/>
      <c r="ALW23" s="337"/>
      <c r="AMG23" s="335"/>
      <c r="AMH23" s="335"/>
      <c r="AMI23" s="335"/>
      <c r="AMJ23" s="335"/>
    </row>
    <row r="24" spans="1:1024" x14ac:dyDescent="0.2">
      <c r="A24" s="335"/>
      <c r="B24" s="335"/>
      <c r="C24" s="335"/>
      <c r="D24" s="335"/>
      <c r="E24" s="335"/>
      <c r="F24" s="335"/>
      <c r="G24" s="335"/>
      <c r="H24" s="325"/>
      <c r="I24" s="325"/>
      <c r="J24" s="325"/>
      <c r="K24" s="325"/>
      <c r="L24" s="325"/>
      <c r="M24" s="352"/>
      <c r="N24" s="352"/>
      <c r="O24" s="352"/>
      <c r="P24" s="353"/>
      <c r="Q24" s="353"/>
      <c r="R24" s="353"/>
      <c r="S24" s="353"/>
      <c r="T24" s="353"/>
      <c r="U24" s="337"/>
      <c r="AE24" s="339"/>
      <c r="AF24" s="339"/>
      <c r="AG24" s="339"/>
      <c r="AH24" s="339"/>
      <c r="AI24" s="339"/>
      <c r="AJ24" s="339"/>
      <c r="AK24" s="339"/>
      <c r="AL24" s="330"/>
      <c r="AM24" s="330"/>
      <c r="AN24" s="330"/>
      <c r="AO24" s="330"/>
      <c r="AP24" s="330"/>
      <c r="AQ24" s="331"/>
      <c r="AR24" s="331"/>
      <c r="AS24" s="331"/>
      <c r="AT24" s="349"/>
      <c r="AU24" s="349"/>
      <c r="AV24" s="349"/>
      <c r="AW24" s="349"/>
      <c r="AX24" s="349"/>
      <c r="AY24" s="337"/>
      <c r="BI24" s="339"/>
      <c r="BJ24" s="339"/>
      <c r="BK24" s="339"/>
      <c r="BL24" s="339"/>
      <c r="BM24" s="339"/>
      <c r="BN24" s="339"/>
      <c r="BO24" s="339"/>
      <c r="BP24" s="330"/>
      <c r="BQ24" s="330"/>
      <c r="BR24" s="330"/>
      <c r="BS24" s="330"/>
      <c r="BT24" s="330"/>
      <c r="BU24" s="331"/>
      <c r="BV24" s="331"/>
      <c r="BW24" s="331"/>
      <c r="BX24" s="349"/>
      <c r="BY24" s="349"/>
      <c r="BZ24" s="349"/>
      <c r="CA24" s="349"/>
      <c r="CB24" s="349"/>
      <c r="CC24" s="337"/>
      <c r="CM24" s="339"/>
      <c r="CN24" s="339"/>
      <c r="CO24" s="339"/>
      <c r="CP24" s="339"/>
      <c r="CQ24" s="339"/>
      <c r="CR24" s="339"/>
      <c r="CS24" s="339"/>
      <c r="CT24" s="330"/>
      <c r="CU24" s="330"/>
      <c r="CV24" s="330"/>
      <c r="CW24" s="330"/>
      <c r="CX24" s="330"/>
      <c r="CY24" s="331"/>
      <c r="CZ24" s="331"/>
      <c r="DA24" s="331"/>
      <c r="DB24" s="349"/>
      <c r="DC24" s="349"/>
      <c r="DD24" s="349"/>
      <c r="DE24" s="349"/>
      <c r="DF24" s="349"/>
      <c r="DG24" s="337"/>
      <c r="DQ24" s="339"/>
      <c r="DR24" s="339"/>
      <c r="DS24" s="339"/>
      <c r="DT24" s="339"/>
      <c r="DU24" s="339"/>
      <c r="DV24" s="339"/>
      <c r="DW24" s="339"/>
      <c r="DX24" s="330"/>
      <c r="DY24" s="330"/>
      <c r="DZ24" s="330"/>
      <c r="EA24" s="330"/>
      <c r="EB24" s="330"/>
      <c r="EC24" s="331"/>
      <c r="ED24" s="331"/>
      <c r="EE24" s="331"/>
      <c r="EF24" s="349"/>
      <c r="EG24" s="349"/>
      <c r="EH24" s="349"/>
      <c r="EI24" s="349"/>
      <c r="EJ24" s="349"/>
      <c r="EK24" s="337"/>
      <c r="EU24" s="339"/>
      <c r="EV24" s="339"/>
      <c r="EW24" s="339"/>
      <c r="EX24" s="339"/>
      <c r="EY24" s="339"/>
      <c r="EZ24" s="339"/>
      <c r="FA24" s="339"/>
      <c r="FB24" s="330"/>
      <c r="FC24" s="330"/>
      <c r="FD24" s="330"/>
      <c r="FE24" s="330"/>
      <c r="FF24" s="330"/>
      <c r="FG24" s="331"/>
      <c r="FH24" s="331"/>
      <c r="FI24" s="331"/>
      <c r="FJ24" s="349"/>
      <c r="FK24" s="349"/>
      <c r="FL24" s="349"/>
      <c r="FM24" s="349"/>
      <c r="FN24" s="349"/>
      <c r="FO24" s="337"/>
      <c r="FY24" s="339"/>
      <c r="FZ24" s="339"/>
      <c r="GA24" s="339"/>
      <c r="GB24" s="339"/>
      <c r="GC24" s="339"/>
      <c r="GD24" s="339"/>
      <c r="GE24" s="339"/>
      <c r="GF24" s="330"/>
      <c r="GG24" s="330"/>
      <c r="GH24" s="330"/>
      <c r="GI24" s="330"/>
      <c r="GJ24" s="330"/>
      <c r="GK24" s="331"/>
      <c r="GL24" s="331"/>
      <c r="GM24" s="331"/>
      <c r="GN24" s="349"/>
      <c r="GO24" s="349"/>
      <c r="GP24" s="349"/>
      <c r="GQ24" s="349"/>
      <c r="GR24" s="349"/>
      <c r="GS24" s="337"/>
      <c r="HC24" s="335"/>
      <c r="HD24" s="335"/>
      <c r="HE24" s="335"/>
      <c r="HF24" s="335"/>
      <c r="HG24" s="335"/>
      <c r="HH24" s="335"/>
      <c r="HI24" s="335"/>
      <c r="HJ24" s="325"/>
      <c r="HK24" s="325"/>
      <c r="HL24" s="325"/>
      <c r="HM24" s="325"/>
      <c r="HN24" s="325"/>
      <c r="HO24" s="352"/>
      <c r="HP24" s="352"/>
      <c r="HQ24" s="352"/>
      <c r="HR24" s="353"/>
      <c r="HS24" s="353"/>
      <c r="HT24" s="353"/>
      <c r="HU24" s="353"/>
      <c r="HV24" s="353"/>
      <c r="HW24" s="337"/>
      <c r="IG24" s="339"/>
      <c r="IH24" s="339"/>
      <c r="II24" s="339"/>
      <c r="IJ24" s="339"/>
      <c r="IK24" s="339"/>
      <c r="IL24" s="339"/>
      <c r="IM24" s="339"/>
      <c r="IN24" s="330"/>
      <c r="IO24" s="330"/>
      <c r="IP24" s="330"/>
      <c r="IQ24" s="330"/>
      <c r="IR24" s="330"/>
      <c r="IS24" s="331"/>
      <c r="IT24" s="331"/>
      <c r="IU24" s="331"/>
      <c r="IV24" s="349"/>
      <c r="IW24" s="349"/>
      <c r="IX24" s="349"/>
      <c r="IY24" s="349"/>
      <c r="IZ24" s="349"/>
      <c r="JA24" s="337"/>
      <c r="JK24" s="339"/>
      <c r="JL24" s="339"/>
      <c r="JM24" s="339"/>
      <c r="JN24" s="339"/>
      <c r="JO24" s="339"/>
      <c r="JP24" s="339"/>
      <c r="JQ24" s="339"/>
      <c r="JR24" s="330"/>
      <c r="JS24" s="330"/>
      <c r="JT24" s="330"/>
      <c r="JU24" s="330"/>
      <c r="JV24" s="330"/>
      <c r="JW24" s="331"/>
      <c r="JX24" s="331"/>
      <c r="JY24" s="331"/>
      <c r="JZ24" s="349"/>
      <c r="KA24" s="349"/>
      <c r="KB24" s="349"/>
      <c r="KC24" s="349"/>
      <c r="KD24" s="349"/>
      <c r="KE24" s="337"/>
      <c r="KO24" s="339"/>
      <c r="KP24" s="339"/>
      <c r="KQ24" s="339"/>
      <c r="KR24" s="339"/>
      <c r="KS24" s="339"/>
      <c r="KT24" s="339"/>
      <c r="KU24" s="339"/>
      <c r="KV24" s="330"/>
      <c r="KW24" s="330"/>
      <c r="KX24" s="330"/>
      <c r="KY24" s="330"/>
      <c r="KZ24" s="330"/>
      <c r="LA24" s="331"/>
      <c r="LB24" s="331"/>
      <c r="LC24" s="331"/>
      <c r="LD24" s="349"/>
      <c r="LE24" s="349"/>
      <c r="LF24" s="349"/>
      <c r="LG24" s="349"/>
      <c r="LH24" s="349"/>
      <c r="LI24" s="337"/>
      <c r="LS24" s="339"/>
      <c r="LT24" s="339"/>
      <c r="LU24" s="339"/>
      <c r="LV24" s="339"/>
      <c r="LW24" s="339"/>
      <c r="LX24" s="339"/>
      <c r="LY24" s="339"/>
      <c r="LZ24" s="330"/>
      <c r="MA24" s="330"/>
      <c r="MB24" s="330"/>
      <c r="MC24" s="330"/>
      <c r="MD24" s="330"/>
      <c r="ME24" s="331"/>
      <c r="MF24" s="331"/>
      <c r="MG24" s="331"/>
      <c r="MH24" s="349"/>
      <c r="MI24" s="349"/>
      <c r="MJ24" s="349"/>
      <c r="MK24" s="349"/>
      <c r="ML24" s="349"/>
      <c r="MM24" s="337"/>
      <c r="MW24" s="339"/>
      <c r="MX24" s="339"/>
      <c r="MY24" s="339"/>
      <c r="MZ24" s="339"/>
      <c r="NA24" s="339"/>
      <c r="NB24" s="339"/>
      <c r="NC24" s="339"/>
      <c r="ND24" s="330"/>
      <c r="NE24" s="330"/>
      <c r="NF24" s="330"/>
      <c r="NG24" s="330"/>
      <c r="NH24" s="330"/>
      <c r="NI24" s="331"/>
      <c r="NJ24" s="331"/>
      <c r="NK24" s="331"/>
      <c r="NL24" s="349"/>
      <c r="NM24" s="349"/>
      <c r="NN24" s="349"/>
      <c r="NO24" s="349"/>
      <c r="NP24" s="349"/>
      <c r="NQ24" s="337"/>
      <c r="OA24" s="339"/>
      <c r="OB24" s="339"/>
      <c r="OC24" s="339"/>
      <c r="OD24" s="339"/>
      <c r="OE24" s="339"/>
      <c r="OF24" s="339"/>
      <c r="OG24" s="339"/>
      <c r="OH24" s="330"/>
      <c r="OI24" s="330"/>
      <c r="OJ24" s="330"/>
      <c r="OK24" s="330"/>
      <c r="OL24" s="330"/>
      <c r="OM24" s="331"/>
      <c r="ON24" s="331"/>
      <c r="OO24" s="331"/>
      <c r="OP24" s="349"/>
      <c r="OQ24" s="349"/>
      <c r="OR24" s="349"/>
      <c r="OS24" s="349"/>
      <c r="OT24" s="349"/>
      <c r="OU24" s="337"/>
      <c r="PE24" s="335"/>
      <c r="PF24" s="335"/>
      <c r="PG24" s="335"/>
      <c r="PH24" s="335"/>
      <c r="PI24" s="335"/>
      <c r="PJ24" s="335"/>
      <c r="PK24" s="335"/>
      <c r="PL24" s="325"/>
      <c r="PM24" s="325"/>
      <c r="PN24" s="325"/>
      <c r="PO24" s="325"/>
      <c r="PP24" s="325"/>
      <c r="PQ24" s="352"/>
      <c r="PR24" s="352"/>
      <c r="PS24" s="352"/>
      <c r="PT24" s="353"/>
      <c r="PU24" s="353"/>
      <c r="PV24" s="353"/>
      <c r="PW24" s="353"/>
      <c r="PX24" s="353"/>
      <c r="PY24" s="337"/>
      <c r="QI24" s="339"/>
      <c r="QJ24" s="339"/>
      <c r="QK24" s="339"/>
      <c r="QL24" s="339"/>
      <c r="QM24" s="339"/>
      <c r="QN24" s="339"/>
      <c r="QO24" s="339"/>
      <c r="QP24" s="330"/>
      <c r="QQ24" s="330"/>
      <c r="QR24" s="330"/>
      <c r="QS24" s="330"/>
      <c r="QT24" s="330"/>
      <c r="QU24" s="331"/>
      <c r="QV24" s="331"/>
      <c r="QW24" s="331"/>
      <c r="QX24" s="349"/>
      <c r="QY24" s="349"/>
      <c r="QZ24" s="349"/>
      <c r="RA24" s="349"/>
      <c r="RB24" s="349"/>
      <c r="RC24" s="337"/>
      <c r="RM24" s="339"/>
      <c r="RN24" s="339"/>
      <c r="RO24" s="339"/>
      <c r="RP24" s="339"/>
      <c r="RQ24" s="339"/>
      <c r="RR24" s="339"/>
      <c r="RS24" s="339"/>
      <c r="RT24" s="330"/>
      <c r="RU24" s="330"/>
      <c r="RV24" s="330"/>
      <c r="RW24" s="330"/>
      <c r="RX24" s="330"/>
      <c r="RY24" s="331"/>
      <c r="RZ24" s="331"/>
      <c r="SA24" s="331"/>
      <c r="SB24" s="349"/>
      <c r="SC24" s="349"/>
      <c r="SD24" s="349"/>
      <c r="SE24" s="349"/>
      <c r="SF24" s="349"/>
      <c r="SG24" s="337"/>
      <c r="SQ24" s="339"/>
      <c r="SR24" s="339"/>
      <c r="SS24" s="339"/>
      <c r="ST24" s="339"/>
      <c r="SU24" s="339"/>
      <c r="SV24" s="339"/>
      <c r="SW24" s="339"/>
      <c r="SX24" s="330"/>
      <c r="SY24" s="330"/>
      <c r="SZ24" s="330"/>
      <c r="TA24" s="330"/>
      <c r="TB24" s="330"/>
      <c r="TC24" s="331"/>
      <c r="TD24" s="331"/>
      <c r="TE24" s="331"/>
      <c r="TF24" s="349"/>
      <c r="TG24" s="349"/>
      <c r="TH24" s="349"/>
      <c r="TI24" s="349"/>
      <c r="TJ24" s="349"/>
      <c r="TK24" s="337"/>
      <c r="TU24" s="339"/>
      <c r="TV24" s="339"/>
      <c r="TW24" s="339"/>
      <c r="TX24" s="339"/>
      <c r="TY24" s="339"/>
      <c r="TZ24" s="339"/>
      <c r="UA24" s="339"/>
      <c r="UB24" s="330"/>
      <c r="UC24" s="330"/>
      <c r="UD24" s="330"/>
      <c r="UE24" s="330"/>
      <c r="UF24" s="330"/>
      <c r="UG24" s="331"/>
      <c r="UH24" s="331"/>
      <c r="UI24" s="331"/>
      <c r="UJ24" s="349"/>
      <c r="UK24" s="349"/>
      <c r="UL24" s="349"/>
      <c r="UM24" s="349"/>
      <c r="UN24" s="349"/>
      <c r="UO24" s="337"/>
      <c r="UY24" s="339"/>
      <c r="UZ24" s="339"/>
      <c r="VA24" s="339"/>
      <c r="VB24" s="339"/>
      <c r="VC24" s="339"/>
      <c r="VD24" s="339"/>
      <c r="VE24" s="339"/>
      <c r="VF24" s="330"/>
      <c r="VG24" s="330"/>
      <c r="VH24" s="330"/>
      <c r="VI24" s="330"/>
      <c r="VJ24" s="330"/>
      <c r="VK24" s="331"/>
      <c r="VL24" s="331"/>
      <c r="VM24" s="331"/>
      <c r="VN24" s="349"/>
      <c r="VO24" s="349"/>
      <c r="VP24" s="349"/>
      <c r="VQ24" s="349"/>
      <c r="VR24" s="349"/>
      <c r="VS24" s="337"/>
      <c r="WC24" s="339"/>
      <c r="WD24" s="339"/>
      <c r="WE24" s="339"/>
      <c r="WF24" s="339"/>
      <c r="WG24" s="339"/>
      <c r="WH24" s="339"/>
      <c r="WI24" s="339"/>
      <c r="WJ24" s="330"/>
      <c r="WK24" s="330"/>
      <c r="WL24" s="330"/>
      <c r="WM24" s="330"/>
      <c r="WN24" s="330"/>
      <c r="WO24" s="331"/>
      <c r="WP24" s="331"/>
      <c r="WQ24" s="331"/>
      <c r="WR24" s="349"/>
      <c r="WS24" s="349"/>
      <c r="WT24" s="349"/>
      <c r="WU24" s="349"/>
      <c r="WV24" s="349"/>
      <c r="WW24" s="337"/>
      <c r="XG24" s="335"/>
      <c r="XH24" s="335"/>
      <c r="XI24" s="335"/>
      <c r="XJ24" s="335"/>
      <c r="XK24" s="335"/>
      <c r="XL24" s="335"/>
      <c r="XM24" s="335"/>
      <c r="XN24" s="325"/>
      <c r="XO24" s="325"/>
      <c r="XP24" s="325"/>
      <c r="XQ24" s="325"/>
      <c r="XR24" s="325"/>
      <c r="XS24" s="352"/>
      <c r="XT24" s="352"/>
      <c r="XU24" s="352"/>
      <c r="XV24" s="353"/>
      <c r="XW24" s="353"/>
      <c r="XX24" s="353"/>
      <c r="XY24" s="353"/>
      <c r="XZ24" s="353"/>
      <c r="YA24" s="337"/>
      <c r="YK24" s="339"/>
      <c r="YL24" s="339"/>
      <c r="YM24" s="339"/>
      <c r="YN24" s="339"/>
      <c r="YO24" s="339"/>
      <c r="YP24" s="339"/>
      <c r="YQ24" s="339"/>
      <c r="YR24" s="330"/>
      <c r="YS24" s="330"/>
      <c r="YT24" s="330"/>
      <c r="YU24" s="330"/>
      <c r="YV24" s="330"/>
      <c r="YW24" s="331"/>
      <c r="YX24" s="331"/>
      <c r="YY24" s="331"/>
      <c r="YZ24" s="349"/>
      <c r="ZA24" s="349"/>
      <c r="ZB24" s="349"/>
      <c r="ZC24" s="349"/>
      <c r="ZD24" s="349"/>
      <c r="ZE24" s="337"/>
      <c r="ZO24" s="339"/>
      <c r="ZP24" s="339"/>
      <c r="ZQ24" s="339"/>
      <c r="ZR24" s="339"/>
      <c r="ZS24" s="339"/>
      <c r="ZT24" s="339"/>
      <c r="ZU24" s="339"/>
      <c r="ZV24" s="330"/>
      <c r="ZW24" s="330"/>
      <c r="ZX24" s="330"/>
      <c r="ZY24" s="330"/>
      <c r="ZZ24" s="330"/>
      <c r="AAA24" s="331"/>
      <c r="AAB24" s="331"/>
      <c r="AAC24" s="331"/>
      <c r="AAD24" s="349"/>
      <c r="AAE24" s="349"/>
      <c r="AAF24" s="349"/>
      <c r="AAG24" s="349"/>
      <c r="AAH24" s="349"/>
      <c r="AAI24" s="337"/>
      <c r="AAS24" s="339"/>
      <c r="AAT24" s="339"/>
      <c r="AAU24" s="339"/>
      <c r="AAV24" s="339"/>
      <c r="AAW24" s="339"/>
      <c r="AAX24" s="339"/>
      <c r="AAY24" s="339"/>
      <c r="AAZ24" s="330"/>
      <c r="ABA24" s="330"/>
      <c r="ABB24" s="330"/>
      <c r="ABC24" s="330"/>
      <c r="ABD24" s="330"/>
      <c r="ABE24" s="331"/>
      <c r="ABF24" s="331"/>
      <c r="ABG24" s="331"/>
      <c r="ABH24" s="349"/>
      <c r="ABI24" s="349"/>
      <c r="ABJ24" s="349"/>
      <c r="ABK24" s="349"/>
      <c r="ABL24" s="349"/>
      <c r="ABM24" s="337"/>
      <c r="ABW24" s="339"/>
      <c r="ABX24" s="339"/>
      <c r="ABY24" s="339"/>
      <c r="ABZ24" s="339"/>
      <c r="ACA24" s="339"/>
      <c r="ACB24" s="339"/>
      <c r="ACC24" s="339"/>
      <c r="ACD24" s="330"/>
      <c r="ACE24" s="330"/>
      <c r="ACF24" s="330"/>
      <c r="ACG24" s="330"/>
      <c r="ACH24" s="330"/>
      <c r="ACI24" s="331"/>
      <c r="ACJ24" s="331"/>
      <c r="ACK24" s="331"/>
      <c r="ACL24" s="349"/>
      <c r="ACM24" s="349"/>
      <c r="ACN24" s="349"/>
      <c r="ACO24" s="349"/>
      <c r="ACP24" s="349"/>
      <c r="ACQ24" s="337"/>
      <c r="ADA24" s="339"/>
      <c r="ADB24" s="339"/>
      <c r="ADC24" s="339"/>
      <c r="ADD24" s="339"/>
      <c r="ADE24" s="339"/>
      <c r="ADF24" s="339"/>
      <c r="ADG24" s="339"/>
      <c r="ADH24" s="330"/>
      <c r="ADI24" s="330"/>
      <c r="ADJ24" s="330"/>
      <c r="ADK24" s="330"/>
      <c r="ADL24" s="330"/>
      <c r="ADM24" s="331"/>
      <c r="ADN24" s="331"/>
      <c r="ADO24" s="331"/>
      <c r="ADP24" s="349"/>
      <c r="ADQ24" s="349"/>
      <c r="ADR24" s="349"/>
      <c r="ADS24" s="349"/>
      <c r="ADT24" s="349"/>
      <c r="ADU24" s="337"/>
      <c r="AEE24" s="339"/>
      <c r="AEF24" s="339"/>
      <c r="AEG24" s="339"/>
      <c r="AEH24" s="339"/>
      <c r="AEI24" s="339"/>
      <c r="AEJ24" s="339"/>
      <c r="AEK24" s="339"/>
      <c r="AEL24" s="330"/>
      <c r="AEM24" s="330"/>
      <c r="AEN24" s="330"/>
      <c r="AEO24" s="330"/>
      <c r="AEP24" s="330"/>
      <c r="AEQ24" s="331"/>
      <c r="AER24" s="331"/>
      <c r="AES24" s="331"/>
      <c r="AET24" s="349"/>
      <c r="AEU24" s="349"/>
      <c r="AEV24" s="349"/>
      <c r="AEW24" s="349"/>
      <c r="AEX24" s="349"/>
      <c r="AEY24" s="337"/>
      <c r="AFI24" s="335"/>
      <c r="AFJ24" s="335"/>
      <c r="AFK24" s="335"/>
      <c r="AFL24" s="335"/>
      <c r="AFM24" s="335"/>
      <c r="AFN24" s="335"/>
      <c r="AFO24" s="335"/>
      <c r="AFP24" s="325"/>
      <c r="AFQ24" s="325"/>
      <c r="AFR24" s="325"/>
      <c r="AFS24" s="325"/>
      <c r="AFT24" s="325"/>
      <c r="AFU24" s="352"/>
      <c r="AFV24" s="352"/>
      <c r="AFW24" s="352"/>
      <c r="AFX24" s="353"/>
      <c r="AFY24" s="353"/>
      <c r="AFZ24" s="353"/>
      <c r="AGA24" s="353"/>
      <c r="AGB24" s="353"/>
      <c r="AGC24" s="337"/>
      <c r="AGM24" s="339"/>
      <c r="AGN24" s="339"/>
      <c r="AGO24" s="339"/>
      <c r="AGP24" s="339"/>
      <c r="AGQ24" s="339"/>
      <c r="AGR24" s="339"/>
      <c r="AGS24" s="339"/>
      <c r="AGT24" s="330"/>
      <c r="AGU24" s="330"/>
      <c r="AGV24" s="330"/>
      <c r="AGW24" s="330"/>
      <c r="AGX24" s="330"/>
      <c r="AGY24" s="331"/>
      <c r="AGZ24" s="331"/>
      <c r="AHA24" s="331"/>
      <c r="AHB24" s="349"/>
      <c r="AHC24" s="349"/>
      <c r="AHD24" s="349"/>
      <c r="AHE24" s="349"/>
      <c r="AHF24" s="349"/>
      <c r="AHG24" s="337"/>
      <c r="AHQ24" s="339"/>
      <c r="AHR24" s="339"/>
      <c r="AHS24" s="339"/>
      <c r="AHT24" s="339"/>
      <c r="AHU24" s="339"/>
      <c r="AHV24" s="339"/>
      <c r="AHW24" s="339"/>
      <c r="AHX24" s="330"/>
      <c r="AHY24" s="330"/>
      <c r="AHZ24" s="330"/>
      <c r="AIA24" s="330"/>
      <c r="AIB24" s="330"/>
      <c r="AIC24" s="331"/>
      <c r="AID24" s="331"/>
      <c r="AIE24" s="331"/>
      <c r="AIF24" s="349"/>
      <c r="AIG24" s="349"/>
      <c r="AIH24" s="349"/>
      <c r="AII24" s="349"/>
      <c r="AIJ24" s="349"/>
      <c r="AIK24" s="337"/>
      <c r="AIU24" s="339"/>
      <c r="AIV24" s="339"/>
      <c r="AIW24" s="339"/>
      <c r="AIX24" s="339"/>
      <c r="AIY24" s="339"/>
      <c r="AIZ24" s="339"/>
      <c r="AJA24" s="339"/>
      <c r="AJB24" s="330"/>
      <c r="AJC24" s="330"/>
      <c r="AJD24" s="330"/>
      <c r="AJE24" s="330"/>
      <c r="AJF24" s="330"/>
      <c r="AJG24" s="331"/>
      <c r="AJH24" s="331"/>
      <c r="AJI24" s="331"/>
      <c r="AJJ24" s="349"/>
      <c r="AJK24" s="349"/>
      <c r="AJL24" s="349"/>
      <c r="AJM24" s="349"/>
      <c r="AJN24" s="349"/>
      <c r="AJO24" s="337"/>
      <c r="AJY24" s="339"/>
      <c r="AJZ24" s="339"/>
      <c r="AKA24" s="339"/>
      <c r="AKB24" s="339"/>
      <c r="AKC24" s="339"/>
      <c r="AKD24" s="339"/>
      <c r="AKE24" s="339"/>
      <c r="AKF24" s="330"/>
      <c r="AKG24" s="330"/>
      <c r="AKH24" s="330"/>
      <c r="AKI24" s="330"/>
      <c r="AKJ24" s="330"/>
      <c r="AKK24" s="331"/>
      <c r="AKL24" s="331"/>
      <c r="AKM24" s="331"/>
      <c r="AKN24" s="349"/>
      <c r="AKO24" s="349"/>
      <c r="AKP24" s="349"/>
      <c r="AKQ24" s="349"/>
      <c r="AKR24" s="349"/>
      <c r="AKS24" s="337"/>
      <c r="ALC24" s="339"/>
      <c r="ALD24" s="339"/>
      <c r="ALE24" s="339"/>
      <c r="ALF24" s="339"/>
      <c r="ALG24" s="339"/>
      <c r="ALH24" s="339"/>
      <c r="ALI24" s="339"/>
      <c r="ALJ24" s="330"/>
      <c r="ALK24" s="330"/>
      <c r="ALL24" s="330"/>
      <c r="ALM24" s="330"/>
      <c r="ALN24" s="330"/>
      <c r="ALO24" s="331"/>
      <c r="ALP24" s="331"/>
      <c r="ALQ24" s="331"/>
      <c r="ALR24" s="349"/>
      <c r="ALS24" s="349"/>
      <c r="ALT24" s="349"/>
      <c r="ALU24" s="349"/>
      <c r="ALV24" s="349"/>
      <c r="ALW24" s="337"/>
      <c r="AMG24" s="335"/>
      <c r="AMH24" s="335"/>
      <c r="AMI24" s="335"/>
      <c r="AMJ24" s="335"/>
    </row>
    <row r="25" spans="1:1024" x14ac:dyDescent="0.2">
      <c r="A25" s="357"/>
      <c r="B25" s="357"/>
      <c r="C25" s="357"/>
      <c r="D25" s="357"/>
      <c r="E25" s="357"/>
      <c r="F25" s="357"/>
      <c r="G25" s="357"/>
      <c r="H25" s="325"/>
      <c r="I25" s="325"/>
      <c r="J25" s="325"/>
      <c r="K25" s="325"/>
      <c r="L25" s="325"/>
      <c r="M25" s="352"/>
      <c r="N25" s="352"/>
      <c r="O25" s="352"/>
      <c r="P25" s="353"/>
      <c r="Q25" s="353"/>
      <c r="R25" s="353"/>
      <c r="S25" s="353"/>
      <c r="T25" s="353"/>
      <c r="U25" s="358"/>
      <c r="Y25" s="359"/>
      <c r="AE25" s="360"/>
      <c r="AF25" s="360"/>
      <c r="AG25" s="360"/>
      <c r="AH25" s="360"/>
      <c r="AI25" s="360"/>
      <c r="AJ25" s="360"/>
      <c r="AK25" s="360"/>
      <c r="AL25" s="330"/>
      <c r="AM25" s="330"/>
      <c r="AN25" s="330"/>
      <c r="AO25" s="330"/>
      <c r="AP25" s="330"/>
      <c r="AQ25" s="331"/>
      <c r="AR25" s="331"/>
      <c r="AS25" s="331"/>
      <c r="AT25" s="349"/>
      <c r="AU25" s="349"/>
      <c r="AV25" s="349"/>
      <c r="AW25" s="349"/>
      <c r="AX25" s="349"/>
      <c r="AY25" s="358"/>
      <c r="BC25" s="359"/>
      <c r="BI25" s="360"/>
      <c r="BJ25" s="360"/>
      <c r="BK25" s="360"/>
      <c r="BL25" s="360"/>
      <c r="BM25" s="360"/>
      <c r="BN25" s="360"/>
      <c r="BO25" s="360"/>
      <c r="BP25" s="330"/>
      <c r="BQ25" s="330"/>
      <c r="BR25" s="330"/>
      <c r="BS25" s="330"/>
      <c r="BT25" s="330"/>
      <c r="BU25" s="331"/>
      <c r="BV25" s="331"/>
      <c r="BW25" s="331"/>
      <c r="BX25" s="349"/>
      <c r="BY25" s="349"/>
      <c r="BZ25" s="349"/>
      <c r="CA25" s="349"/>
      <c r="CB25" s="349"/>
      <c r="CC25" s="358"/>
      <c r="CG25" s="359"/>
      <c r="CM25" s="360"/>
      <c r="CN25" s="360"/>
      <c r="CO25" s="360"/>
      <c r="CP25" s="360"/>
      <c r="CQ25" s="360"/>
      <c r="CR25" s="360"/>
      <c r="CS25" s="360"/>
      <c r="CT25" s="330"/>
      <c r="CU25" s="330"/>
      <c r="CV25" s="330"/>
      <c r="CW25" s="330"/>
      <c r="CX25" s="330"/>
      <c r="CY25" s="331"/>
      <c r="CZ25" s="331"/>
      <c r="DA25" s="331"/>
      <c r="DB25" s="349"/>
      <c r="DC25" s="349"/>
      <c r="DD25" s="349"/>
      <c r="DE25" s="349"/>
      <c r="DF25" s="349"/>
      <c r="DG25" s="358"/>
      <c r="DK25" s="359"/>
      <c r="DQ25" s="360"/>
      <c r="DR25" s="360"/>
      <c r="DS25" s="360"/>
      <c r="DT25" s="360"/>
      <c r="DU25" s="360"/>
      <c r="DV25" s="360"/>
      <c r="DW25" s="360"/>
      <c r="DX25" s="330"/>
      <c r="DY25" s="330"/>
      <c r="DZ25" s="330"/>
      <c r="EA25" s="330"/>
      <c r="EB25" s="330"/>
      <c r="EC25" s="331"/>
      <c r="ED25" s="331"/>
      <c r="EE25" s="331"/>
      <c r="EF25" s="349"/>
      <c r="EG25" s="349"/>
      <c r="EH25" s="349"/>
      <c r="EI25" s="349"/>
      <c r="EJ25" s="349"/>
      <c r="EK25" s="358"/>
      <c r="EO25" s="359"/>
      <c r="EU25" s="360"/>
      <c r="EV25" s="360"/>
      <c r="EW25" s="360"/>
      <c r="EX25" s="360"/>
      <c r="EY25" s="360"/>
      <c r="EZ25" s="360"/>
      <c r="FA25" s="360"/>
      <c r="FB25" s="330"/>
      <c r="FC25" s="330"/>
      <c r="FD25" s="330"/>
      <c r="FE25" s="330"/>
      <c r="FF25" s="330"/>
      <c r="FG25" s="331"/>
      <c r="FH25" s="331"/>
      <c r="FI25" s="331"/>
      <c r="FJ25" s="349"/>
      <c r="FK25" s="349"/>
      <c r="FL25" s="349"/>
      <c r="FM25" s="349"/>
      <c r="FN25" s="349"/>
      <c r="FO25" s="358"/>
      <c r="FS25" s="359"/>
      <c r="FY25" s="360"/>
      <c r="FZ25" s="360"/>
      <c r="GA25" s="360"/>
      <c r="GB25" s="360"/>
      <c r="GC25" s="360"/>
      <c r="GD25" s="360"/>
      <c r="GE25" s="360"/>
      <c r="GF25" s="330"/>
      <c r="GG25" s="330"/>
      <c r="GH25" s="330"/>
      <c r="GI25" s="330"/>
      <c r="GJ25" s="330"/>
      <c r="GK25" s="331"/>
      <c r="GL25" s="331"/>
      <c r="GM25" s="331"/>
      <c r="GN25" s="349"/>
      <c r="GO25" s="349"/>
      <c r="GP25" s="349"/>
      <c r="GQ25" s="349"/>
      <c r="GR25" s="349"/>
      <c r="GS25" s="358"/>
      <c r="GW25" s="359"/>
      <c r="HC25" s="357"/>
      <c r="HD25" s="357"/>
      <c r="HE25" s="357"/>
      <c r="HF25" s="357"/>
      <c r="HG25" s="357"/>
      <c r="HH25" s="357"/>
      <c r="HI25" s="357"/>
      <c r="HJ25" s="325"/>
      <c r="HK25" s="325"/>
      <c r="HL25" s="325"/>
      <c r="HM25" s="325"/>
      <c r="HN25" s="325"/>
      <c r="HO25" s="352"/>
      <c r="HP25" s="352"/>
      <c r="HQ25" s="352"/>
      <c r="HR25" s="353"/>
      <c r="HS25" s="353"/>
      <c r="HT25" s="353"/>
      <c r="HU25" s="353"/>
      <c r="HV25" s="353"/>
      <c r="HW25" s="358"/>
      <c r="IA25" s="359"/>
      <c r="IG25" s="360"/>
      <c r="IH25" s="360"/>
      <c r="II25" s="360"/>
      <c r="IJ25" s="360"/>
      <c r="IK25" s="360"/>
      <c r="IL25" s="360"/>
      <c r="IM25" s="360"/>
      <c r="IN25" s="330"/>
      <c r="IO25" s="330"/>
      <c r="IP25" s="330"/>
      <c r="IQ25" s="330"/>
      <c r="IR25" s="330"/>
      <c r="IS25" s="331"/>
      <c r="IT25" s="331"/>
      <c r="IU25" s="331"/>
      <c r="IV25" s="349"/>
      <c r="IW25" s="349"/>
      <c r="IX25" s="349"/>
      <c r="IY25" s="349"/>
      <c r="IZ25" s="349"/>
      <c r="JA25" s="358"/>
      <c r="JE25" s="359"/>
      <c r="JK25" s="360"/>
      <c r="JL25" s="360"/>
      <c r="JM25" s="360"/>
      <c r="JN25" s="360"/>
      <c r="JO25" s="360"/>
      <c r="JP25" s="360"/>
      <c r="JQ25" s="360"/>
      <c r="JR25" s="330"/>
      <c r="JS25" s="330"/>
      <c r="JT25" s="330"/>
      <c r="JU25" s="330"/>
      <c r="JV25" s="330"/>
      <c r="JW25" s="331"/>
      <c r="JX25" s="331"/>
      <c r="JY25" s="331"/>
      <c r="JZ25" s="349"/>
      <c r="KA25" s="349"/>
      <c r="KB25" s="349"/>
      <c r="KC25" s="349"/>
      <c r="KD25" s="349"/>
      <c r="KE25" s="358"/>
      <c r="KI25" s="359"/>
      <c r="KO25" s="360"/>
      <c r="KP25" s="360"/>
      <c r="KQ25" s="360"/>
      <c r="KR25" s="360"/>
      <c r="KS25" s="360"/>
      <c r="KT25" s="360"/>
      <c r="KU25" s="360"/>
      <c r="KV25" s="330"/>
      <c r="KW25" s="330"/>
      <c r="KX25" s="330"/>
      <c r="KY25" s="330"/>
      <c r="KZ25" s="330"/>
      <c r="LA25" s="331"/>
      <c r="LB25" s="331"/>
      <c r="LC25" s="331"/>
      <c r="LD25" s="349"/>
      <c r="LE25" s="349"/>
      <c r="LF25" s="349"/>
      <c r="LG25" s="349"/>
      <c r="LH25" s="349"/>
      <c r="LI25" s="358"/>
      <c r="LM25" s="359"/>
      <c r="LS25" s="360"/>
      <c r="LT25" s="360"/>
      <c r="LU25" s="360"/>
      <c r="LV25" s="360"/>
      <c r="LW25" s="360"/>
      <c r="LX25" s="360"/>
      <c r="LY25" s="360"/>
      <c r="LZ25" s="330"/>
      <c r="MA25" s="330"/>
      <c r="MB25" s="330"/>
      <c r="MC25" s="330"/>
      <c r="MD25" s="330"/>
      <c r="ME25" s="331"/>
      <c r="MF25" s="331"/>
      <c r="MG25" s="331"/>
      <c r="MH25" s="349"/>
      <c r="MI25" s="349"/>
      <c r="MJ25" s="349"/>
      <c r="MK25" s="349"/>
      <c r="ML25" s="349"/>
      <c r="MM25" s="358"/>
      <c r="MQ25" s="359"/>
      <c r="MW25" s="360"/>
      <c r="MX25" s="360"/>
      <c r="MY25" s="360"/>
      <c r="MZ25" s="360"/>
      <c r="NA25" s="360"/>
      <c r="NB25" s="360"/>
      <c r="NC25" s="360"/>
      <c r="ND25" s="330"/>
      <c r="NE25" s="330"/>
      <c r="NF25" s="330"/>
      <c r="NG25" s="330"/>
      <c r="NH25" s="330"/>
      <c r="NI25" s="331"/>
      <c r="NJ25" s="331"/>
      <c r="NK25" s="331"/>
      <c r="NL25" s="349"/>
      <c r="NM25" s="349"/>
      <c r="NN25" s="349"/>
      <c r="NO25" s="349"/>
      <c r="NP25" s="349"/>
      <c r="NQ25" s="358"/>
      <c r="NU25" s="359"/>
      <c r="OA25" s="360"/>
      <c r="OB25" s="360"/>
      <c r="OC25" s="360"/>
      <c r="OD25" s="360"/>
      <c r="OE25" s="360"/>
      <c r="OF25" s="360"/>
      <c r="OG25" s="360"/>
      <c r="OH25" s="330"/>
      <c r="OI25" s="330"/>
      <c r="OJ25" s="330"/>
      <c r="OK25" s="330"/>
      <c r="OL25" s="330"/>
      <c r="OM25" s="331"/>
      <c r="ON25" s="331"/>
      <c r="OO25" s="331"/>
      <c r="OP25" s="349"/>
      <c r="OQ25" s="349"/>
      <c r="OR25" s="349"/>
      <c r="OS25" s="349"/>
      <c r="OT25" s="349"/>
      <c r="OU25" s="358"/>
      <c r="OY25" s="359"/>
      <c r="PE25" s="357"/>
      <c r="PF25" s="357"/>
      <c r="PG25" s="357"/>
      <c r="PH25" s="357"/>
      <c r="PI25" s="357"/>
      <c r="PJ25" s="357"/>
      <c r="PK25" s="357"/>
      <c r="PL25" s="325"/>
      <c r="PM25" s="325"/>
      <c r="PN25" s="325"/>
      <c r="PO25" s="325"/>
      <c r="PP25" s="325"/>
      <c r="PQ25" s="352"/>
      <c r="PR25" s="352"/>
      <c r="PS25" s="352"/>
      <c r="PT25" s="353"/>
      <c r="PU25" s="353"/>
      <c r="PV25" s="353"/>
      <c r="PW25" s="353"/>
      <c r="PX25" s="353"/>
      <c r="PY25" s="358"/>
      <c r="QC25" s="359"/>
      <c r="QI25" s="360"/>
      <c r="QJ25" s="360"/>
      <c r="QK25" s="360"/>
      <c r="QL25" s="360"/>
      <c r="QM25" s="360"/>
      <c r="QN25" s="360"/>
      <c r="QO25" s="360"/>
      <c r="QP25" s="330"/>
      <c r="QQ25" s="330"/>
      <c r="QR25" s="330"/>
      <c r="QS25" s="330"/>
      <c r="QT25" s="330"/>
      <c r="QU25" s="331"/>
      <c r="QV25" s="331"/>
      <c r="QW25" s="331"/>
      <c r="QX25" s="349"/>
      <c r="QY25" s="349"/>
      <c r="QZ25" s="349"/>
      <c r="RA25" s="349"/>
      <c r="RB25" s="349"/>
      <c r="RC25" s="358"/>
      <c r="RG25" s="359"/>
      <c r="RM25" s="360"/>
      <c r="RN25" s="360"/>
      <c r="RO25" s="360"/>
      <c r="RP25" s="360"/>
      <c r="RQ25" s="360"/>
      <c r="RR25" s="360"/>
      <c r="RS25" s="360"/>
      <c r="RT25" s="330"/>
      <c r="RU25" s="330"/>
      <c r="RV25" s="330"/>
      <c r="RW25" s="330"/>
      <c r="RX25" s="330"/>
      <c r="RY25" s="331"/>
      <c r="RZ25" s="331"/>
      <c r="SA25" s="331"/>
      <c r="SB25" s="349"/>
      <c r="SC25" s="349"/>
      <c r="SD25" s="349"/>
      <c r="SE25" s="349"/>
      <c r="SF25" s="349"/>
      <c r="SG25" s="358"/>
      <c r="SK25" s="359"/>
      <c r="SQ25" s="360"/>
      <c r="SR25" s="360"/>
      <c r="SS25" s="360"/>
      <c r="ST25" s="360"/>
      <c r="SU25" s="360"/>
      <c r="SV25" s="360"/>
      <c r="SW25" s="360"/>
      <c r="SX25" s="330"/>
      <c r="SY25" s="330"/>
      <c r="SZ25" s="330"/>
      <c r="TA25" s="330"/>
      <c r="TB25" s="330"/>
      <c r="TC25" s="331"/>
      <c r="TD25" s="331"/>
      <c r="TE25" s="331"/>
      <c r="TF25" s="349"/>
      <c r="TG25" s="349"/>
      <c r="TH25" s="349"/>
      <c r="TI25" s="349"/>
      <c r="TJ25" s="349"/>
      <c r="TK25" s="358"/>
      <c r="TO25" s="359"/>
      <c r="TU25" s="360"/>
      <c r="TV25" s="360"/>
      <c r="TW25" s="360"/>
      <c r="TX25" s="360"/>
      <c r="TY25" s="360"/>
      <c r="TZ25" s="360"/>
      <c r="UA25" s="360"/>
      <c r="UB25" s="330"/>
      <c r="UC25" s="330"/>
      <c r="UD25" s="330"/>
      <c r="UE25" s="330"/>
      <c r="UF25" s="330"/>
      <c r="UG25" s="331"/>
      <c r="UH25" s="331"/>
      <c r="UI25" s="331"/>
      <c r="UJ25" s="349"/>
      <c r="UK25" s="349"/>
      <c r="UL25" s="349"/>
      <c r="UM25" s="349"/>
      <c r="UN25" s="349"/>
      <c r="UO25" s="358"/>
      <c r="US25" s="359"/>
      <c r="UY25" s="360"/>
      <c r="UZ25" s="360"/>
      <c r="VA25" s="360"/>
      <c r="VB25" s="360"/>
      <c r="VC25" s="360"/>
      <c r="VD25" s="360"/>
      <c r="VE25" s="360"/>
      <c r="VF25" s="330"/>
      <c r="VG25" s="330"/>
      <c r="VH25" s="330"/>
      <c r="VI25" s="330"/>
      <c r="VJ25" s="330"/>
      <c r="VK25" s="331"/>
      <c r="VL25" s="331"/>
      <c r="VM25" s="331"/>
      <c r="VN25" s="349"/>
      <c r="VO25" s="349"/>
      <c r="VP25" s="349"/>
      <c r="VQ25" s="349"/>
      <c r="VR25" s="349"/>
      <c r="VS25" s="358"/>
      <c r="VW25" s="359"/>
      <c r="WC25" s="360"/>
      <c r="WD25" s="360"/>
      <c r="WE25" s="360"/>
      <c r="WF25" s="360"/>
      <c r="WG25" s="360"/>
      <c r="WH25" s="360"/>
      <c r="WI25" s="360"/>
      <c r="WJ25" s="330"/>
      <c r="WK25" s="330"/>
      <c r="WL25" s="330"/>
      <c r="WM25" s="330"/>
      <c r="WN25" s="330"/>
      <c r="WO25" s="331"/>
      <c r="WP25" s="331"/>
      <c r="WQ25" s="331"/>
      <c r="WR25" s="349"/>
      <c r="WS25" s="349"/>
      <c r="WT25" s="349"/>
      <c r="WU25" s="349"/>
      <c r="WV25" s="349"/>
      <c r="WW25" s="358"/>
      <c r="XA25" s="359"/>
      <c r="XG25" s="357"/>
      <c r="XH25" s="357"/>
      <c r="XI25" s="357"/>
      <c r="XJ25" s="357"/>
      <c r="XK25" s="357"/>
      <c r="XL25" s="357"/>
      <c r="XM25" s="357"/>
      <c r="XN25" s="325"/>
      <c r="XO25" s="325"/>
      <c r="XP25" s="325"/>
      <c r="XQ25" s="325"/>
      <c r="XR25" s="325"/>
      <c r="XS25" s="352"/>
      <c r="XT25" s="352"/>
      <c r="XU25" s="352"/>
      <c r="XV25" s="353"/>
      <c r="XW25" s="353"/>
      <c r="XX25" s="353"/>
      <c r="XY25" s="353"/>
      <c r="XZ25" s="353"/>
      <c r="YA25" s="358"/>
      <c r="YE25" s="359"/>
      <c r="YK25" s="360"/>
      <c r="YL25" s="360"/>
      <c r="YM25" s="360"/>
      <c r="YN25" s="360"/>
      <c r="YO25" s="360"/>
      <c r="YP25" s="360"/>
      <c r="YQ25" s="360"/>
      <c r="YR25" s="330"/>
      <c r="YS25" s="330"/>
      <c r="YT25" s="330"/>
      <c r="YU25" s="330"/>
      <c r="YV25" s="330"/>
      <c r="YW25" s="331"/>
      <c r="YX25" s="331"/>
      <c r="YY25" s="331"/>
      <c r="YZ25" s="349"/>
      <c r="ZA25" s="349"/>
      <c r="ZB25" s="349"/>
      <c r="ZC25" s="349"/>
      <c r="ZD25" s="349"/>
      <c r="ZE25" s="358"/>
      <c r="ZI25" s="359"/>
      <c r="ZO25" s="360"/>
      <c r="ZP25" s="360"/>
      <c r="ZQ25" s="360"/>
      <c r="ZR25" s="360"/>
      <c r="ZS25" s="360"/>
      <c r="ZT25" s="360"/>
      <c r="ZU25" s="360"/>
      <c r="ZV25" s="330"/>
      <c r="ZW25" s="330"/>
      <c r="ZX25" s="330"/>
      <c r="ZY25" s="330"/>
      <c r="ZZ25" s="330"/>
      <c r="AAA25" s="331"/>
      <c r="AAB25" s="331"/>
      <c r="AAC25" s="331"/>
      <c r="AAD25" s="349"/>
      <c r="AAE25" s="349"/>
      <c r="AAF25" s="349"/>
      <c r="AAG25" s="349"/>
      <c r="AAH25" s="349"/>
      <c r="AAI25" s="358"/>
      <c r="AAM25" s="359"/>
      <c r="AAS25" s="360"/>
      <c r="AAT25" s="360"/>
      <c r="AAU25" s="360"/>
      <c r="AAV25" s="360"/>
      <c r="AAW25" s="360"/>
      <c r="AAX25" s="360"/>
      <c r="AAY25" s="360"/>
      <c r="AAZ25" s="330"/>
      <c r="ABA25" s="330"/>
      <c r="ABB25" s="330"/>
      <c r="ABC25" s="330"/>
      <c r="ABD25" s="330"/>
      <c r="ABE25" s="331"/>
      <c r="ABF25" s="331"/>
      <c r="ABG25" s="331"/>
      <c r="ABH25" s="349"/>
      <c r="ABI25" s="349"/>
      <c r="ABJ25" s="349"/>
      <c r="ABK25" s="349"/>
      <c r="ABL25" s="349"/>
      <c r="ABM25" s="358"/>
      <c r="ABQ25" s="359"/>
      <c r="ABW25" s="360"/>
      <c r="ABX25" s="360"/>
      <c r="ABY25" s="360"/>
      <c r="ABZ25" s="360"/>
      <c r="ACA25" s="360"/>
      <c r="ACB25" s="360"/>
      <c r="ACC25" s="360"/>
      <c r="ACD25" s="330"/>
      <c r="ACE25" s="330"/>
      <c r="ACF25" s="330"/>
      <c r="ACG25" s="330"/>
      <c r="ACH25" s="330"/>
      <c r="ACI25" s="331"/>
      <c r="ACJ25" s="331"/>
      <c r="ACK25" s="331"/>
      <c r="ACL25" s="349"/>
      <c r="ACM25" s="349"/>
      <c r="ACN25" s="349"/>
      <c r="ACO25" s="349"/>
      <c r="ACP25" s="349"/>
      <c r="ACQ25" s="358"/>
      <c r="ACU25" s="359"/>
      <c r="ADA25" s="360"/>
      <c r="ADB25" s="360"/>
      <c r="ADC25" s="360"/>
      <c r="ADD25" s="360"/>
      <c r="ADE25" s="360"/>
      <c r="ADF25" s="360"/>
      <c r="ADG25" s="360"/>
      <c r="ADH25" s="330"/>
      <c r="ADI25" s="330"/>
      <c r="ADJ25" s="330"/>
      <c r="ADK25" s="330"/>
      <c r="ADL25" s="330"/>
      <c r="ADM25" s="331"/>
      <c r="ADN25" s="331"/>
      <c r="ADO25" s="331"/>
      <c r="ADP25" s="349"/>
      <c r="ADQ25" s="349"/>
      <c r="ADR25" s="349"/>
      <c r="ADS25" s="349"/>
      <c r="ADT25" s="349"/>
      <c r="ADU25" s="358"/>
      <c r="ADY25" s="359"/>
      <c r="AEE25" s="360"/>
      <c r="AEF25" s="360"/>
      <c r="AEG25" s="360"/>
      <c r="AEH25" s="360"/>
      <c r="AEI25" s="360"/>
      <c r="AEJ25" s="360"/>
      <c r="AEK25" s="360"/>
      <c r="AEL25" s="330"/>
      <c r="AEM25" s="330"/>
      <c r="AEN25" s="330"/>
      <c r="AEO25" s="330"/>
      <c r="AEP25" s="330"/>
      <c r="AEQ25" s="331"/>
      <c r="AER25" s="331"/>
      <c r="AES25" s="331"/>
      <c r="AET25" s="349"/>
      <c r="AEU25" s="349"/>
      <c r="AEV25" s="349"/>
      <c r="AEW25" s="349"/>
      <c r="AEX25" s="349"/>
      <c r="AEY25" s="358"/>
      <c r="AFC25" s="359"/>
      <c r="AFI25" s="357"/>
      <c r="AFJ25" s="357"/>
      <c r="AFK25" s="357"/>
      <c r="AFL25" s="357"/>
      <c r="AFM25" s="357"/>
      <c r="AFN25" s="357"/>
      <c r="AFO25" s="357"/>
      <c r="AFP25" s="325"/>
      <c r="AFQ25" s="325"/>
      <c r="AFR25" s="325"/>
      <c r="AFS25" s="325"/>
      <c r="AFT25" s="325"/>
      <c r="AFU25" s="352"/>
      <c r="AFV25" s="352"/>
      <c r="AFW25" s="352"/>
      <c r="AFX25" s="353"/>
      <c r="AFY25" s="353"/>
      <c r="AFZ25" s="353"/>
      <c r="AGA25" s="353"/>
      <c r="AGB25" s="353"/>
      <c r="AGC25" s="358"/>
      <c r="AGG25" s="359"/>
      <c r="AGM25" s="360"/>
      <c r="AGN25" s="360"/>
      <c r="AGO25" s="360"/>
      <c r="AGP25" s="360"/>
      <c r="AGQ25" s="360"/>
      <c r="AGR25" s="360"/>
      <c r="AGS25" s="360"/>
      <c r="AGT25" s="330"/>
      <c r="AGU25" s="330"/>
      <c r="AGV25" s="330"/>
      <c r="AGW25" s="330"/>
      <c r="AGX25" s="330"/>
      <c r="AGY25" s="331"/>
      <c r="AGZ25" s="331"/>
      <c r="AHA25" s="331"/>
      <c r="AHB25" s="349"/>
      <c r="AHC25" s="349"/>
      <c r="AHD25" s="349"/>
      <c r="AHE25" s="349"/>
      <c r="AHF25" s="349"/>
      <c r="AHG25" s="358"/>
      <c r="AHK25" s="359"/>
      <c r="AHQ25" s="360"/>
      <c r="AHR25" s="360"/>
      <c r="AHS25" s="360"/>
      <c r="AHT25" s="360"/>
      <c r="AHU25" s="360"/>
      <c r="AHV25" s="360"/>
      <c r="AHW25" s="360"/>
      <c r="AHX25" s="330"/>
      <c r="AHY25" s="330"/>
      <c r="AHZ25" s="330"/>
      <c r="AIA25" s="330"/>
      <c r="AIB25" s="330"/>
      <c r="AIC25" s="331"/>
      <c r="AID25" s="331"/>
      <c r="AIE25" s="331"/>
      <c r="AIF25" s="349"/>
      <c r="AIG25" s="349"/>
      <c r="AIH25" s="349"/>
      <c r="AII25" s="349"/>
      <c r="AIJ25" s="349"/>
      <c r="AIK25" s="358"/>
      <c r="AIO25" s="359"/>
      <c r="AIU25" s="360"/>
      <c r="AIV25" s="360"/>
      <c r="AIW25" s="360"/>
      <c r="AIX25" s="360"/>
      <c r="AIY25" s="360"/>
      <c r="AIZ25" s="360"/>
      <c r="AJA25" s="360"/>
      <c r="AJB25" s="330"/>
      <c r="AJC25" s="330"/>
      <c r="AJD25" s="330"/>
      <c r="AJE25" s="330"/>
      <c r="AJF25" s="330"/>
      <c r="AJG25" s="331"/>
      <c r="AJH25" s="331"/>
      <c r="AJI25" s="331"/>
      <c r="AJJ25" s="349"/>
      <c r="AJK25" s="349"/>
      <c r="AJL25" s="349"/>
      <c r="AJM25" s="349"/>
      <c r="AJN25" s="349"/>
      <c r="AJO25" s="358"/>
      <c r="AJS25" s="359"/>
      <c r="AJY25" s="360"/>
      <c r="AJZ25" s="360"/>
      <c r="AKA25" s="360"/>
      <c r="AKB25" s="360"/>
      <c r="AKC25" s="360"/>
      <c r="AKD25" s="360"/>
      <c r="AKE25" s="360"/>
      <c r="AKF25" s="330"/>
      <c r="AKG25" s="330"/>
      <c r="AKH25" s="330"/>
      <c r="AKI25" s="330"/>
      <c r="AKJ25" s="330"/>
      <c r="AKK25" s="331"/>
      <c r="AKL25" s="331"/>
      <c r="AKM25" s="331"/>
      <c r="AKN25" s="349"/>
      <c r="AKO25" s="349"/>
      <c r="AKP25" s="349"/>
      <c r="AKQ25" s="349"/>
      <c r="AKR25" s="349"/>
      <c r="AKS25" s="358"/>
      <c r="AKW25" s="359"/>
      <c r="ALC25" s="360"/>
      <c r="ALD25" s="360"/>
      <c r="ALE25" s="360"/>
      <c r="ALF25" s="360"/>
      <c r="ALG25" s="360"/>
      <c r="ALH25" s="360"/>
      <c r="ALI25" s="360"/>
      <c r="ALJ25" s="330"/>
      <c r="ALK25" s="330"/>
      <c r="ALL25" s="330"/>
      <c r="ALM25" s="330"/>
      <c r="ALN25" s="330"/>
      <c r="ALO25" s="331"/>
      <c r="ALP25" s="331"/>
      <c r="ALQ25" s="331"/>
      <c r="ALR25" s="349"/>
      <c r="ALS25" s="349"/>
      <c r="ALT25" s="349"/>
      <c r="ALU25" s="349"/>
      <c r="ALV25" s="349"/>
      <c r="ALW25" s="358"/>
      <c r="AMA25" s="359"/>
      <c r="AMG25" s="357"/>
      <c r="AMH25" s="357"/>
      <c r="AMI25" s="357"/>
      <c r="AMJ25" s="357"/>
    </row>
    <row r="26" spans="1:1024" x14ac:dyDescent="0.2">
      <c r="A26" s="279" t="s">
        <v>2003</v>
      </c>
      <c r="B26" s="279"/>
      <c r="C26" s="279"/>
      <c r="D26" s="279"/>
      <c r="AD26" s="361"/>
      <c r="AE26" s="279" t="s">
        <v>2003</v>
      </c>
      <c r="AF26" s="279"/>
      <c r="AG26" s="279"/>
      <c r="AH26" s="279"/>
      <c r="BH26" s="361"/>
      <c r="BI26" s="279" t="s">
        <v>2003</v>
      </c>
      <c r="BJ26" s="279"/>
      <c r="BK26" s="279"/>
      <c r="BL26" s="279"/>
      <c r="CL26" s="361"/>
      <c r="CM26" s="279" t="s">
        <v>2003</v>
      </c>
      <c r="CN26" s="279"/>
      <c r="CO26" s="279"/>
      <c r="CP26" s="279"/>
      <c r="DP26" s="361"/>
      <c r="DQ26" s="279" t="s">
        <v>2003</v>
      </c>
      <c r="DR26" s="279"/>
      <c r="DS26" s="279"/>
      <c r="DT26" s="279"/>
      <c r="ET26" s="361"/>
      <c r="EU26" s="279" t="s">
        <v>2003</v>
      </c>
      <c r="EV26" s="279"/>
      <c r="EW26" s="279"/>
      <c r="EX26" s="279"/>
      <c r="FX26" s="361"/>
      <c r="FY26" s="279" t="s">
        <v>2003</v>
      </c>
      <c r="FZ26" s="279"/>
      <c r="GA26" s="279"/>
      <c r="GB26" s="279"/>
      <c r="HB26" s="361"/>
      <c r="HC26" s="279" t="s">
        <v>2003</v>
      </c>
      <c r="HD26" s="279"/>
      <c r="HE26" s="279"/>
      <c r="HF26" s="279"/>
      <c r="IF26" s="361"/>
      <c r="IG26" s="279" t="s">
        <v>2003</v>
      </c>
      <c r="IH26" s="279"/>
      <c r="II26" s="279"/>
      <c r="IJ26" s="279"/>
      <c r="JJ26" s="361"/>
      <c r="JK26" s="279" t="s">
        <v>2003</v>
      </c>
      <c r="JL26" s="279"/>
      <c r="JM26" s="279"/>
      <c r="JN26" s="279"/>
      <c r="KN26" s="361"/>
      <c r="KO26" s="279" t="s">
        <v>2003</v>
      </c>
      <c r="KP26" s="279"/>
      <c r="KQ26" s="279"/>
      <c r="KR26" s="279"/>
      <c r="LR26" s="361"/>
      <c r="LS26" s="279" t="s">
        <v>2003</v>
      </c>
      <c r="LT26" s="279"/>
      <c r="LU26" s="279"/>
      <c r="LV26" s="279"/>
      <c r="MV26" s="361"/>
      <c r="MW26" s="279" t="s">
        <v>2003</v>
      </c>
      <c r="MX26" s="279"/>
      <c r="MY26" s="279"/>
      <c r="MZ26" s="279"/>
      <c r="NZ26" s="361"/>
      <c r="OA26" s="279" t="s">
        <v>2003</v>
      </c>
      <c r="OB26" s="279"/>
      <c r="OC26" s="279"/>
      <c r="OD26" s="279"/>
      <c r="PD26" s="361"/>
      <c r="PE26" s="279" t="s">
        <v>2003</v>
      </c>
      <c r="PF26" s="279"/>
      <c r="PG26" s="279"/>
      <c r="PH26" s="279"/>
      <c r="QH26" s="361"/>
      <c r="QI26" s="279" t="s">
        <v>2003</v>
      </c>
      <c r="QJ26" s="279"/>
      <c r="QK26" s="279"/>
      <c r="QL26" s="279"/>
      <c r="RL26" s="361"/>
      <c r="RM26" s="279" t="s">
        <v>2003</v>
      </c>
      <c r="RN26" s="279"/>
      <c r="RO26" s="279"/>
      <c r="RP26" s="279"/>
      <c r="SP26" s="361"/>
      <c r="SQ26" s="279" t="s">
        <v>2003</v>
      </c>
      <c r="SR26" s="279"/>
      <c r="SS26" s="279"/>
      <c r="ST26" s="279"/>
      <c r="TT26" s="361"/>
      <c r="TU26" s="279" t="s">
        <v>2003</v>
      </c>
      <c r="TV26" s="279"/>
      <c r="TW26" s="279"/>
      <c r="TX26" s="279"/>
      <c r="UX26" s="361"/>
      <c r="UY26" s="279" t="s">
        <v>2003</v>
      </c>
      <c r="UZ26" s="279"/>
      <c r="VA26" s="279"/>
      <c r="VB26" s="279"/>
      <c r="WB26" s="361"/>
      <c r="WC26" s="279" t="s">
        <v>2003</v>
      </c>
      <c r="WD26" s="279"/>
      <c r="WE26" s="279"/>
      <c r="WF26" s="279"/>
      <c r="XF26" s="361"/>
      <c r="XG26" s="279" t="s">
        <v>2003</v>
      </c>
      <c r="XH26" s="279"/>
      <c r="XI26" s="279"/>
      <c r="XJ26" s="279"/>
      <c r="YJ26" s="361"/>
      <c r="YK26" s="279" t="s">
        <v>2003</v>
      </c>
      <c r="YL26" s="279"/>
      <c r="YM26" s="279"/>
      <c r="YN26" s="279"/>
      <c r="ZN26" s="361"/>
      <c r="ZO26" s="279" t="s">
        <v>2003</v>
      </c>
      <c r="ZP26" s="279"/>
      <c r="ZQ26" s="279"/>
      <c r="ZR26" s="279"/>
      <c r="AAR26" s="361"/>
      <c r="AAS26" s="279" t="s">
        <v>2003</v>
      </c>
      <c r="AAT26" s="279"/>
      <c r="AAU26" s="279"/>
      <c r="AAV26" s="279"/>
      <c r="ABV26" s="361"/>
      <c r="ABW26" s="279" t="s">
        <v>2003</v>
      </c>
      <c r="ABX26" s="279"/>
      <c r="ABY26" s="279"/>
      <c r="ABZ26" s="279"/>
      <c r="ACZ26" s="361"/>
      <c r="ADA26" s="279" t="s">
        <v>2003</v>
      </c>
      <c r="ADB26" s="279"/>
      <c r="ADC26" s="279"/>
      <c r="ADD26" s="279"/>
      <c r="AED26" s="361"/>
      <c r="AEE26" s="279" t="s">
        <v>2003</v>
      </c>
      <c r="AEF26" s="279"/>
      <c r="AEG26" s="279"/>
      <c r="AEH26" s="279"/>
      <c r="AFH26" s="361"/>
      <c r="AFI26" s="279" t="s">
        <v>2003</v>
      </c>
      <c r="AFJ26" s="279"/>
      <c r="AFK26" s="279"/>
      <c r="AFL26" s="279"/>
      <c r="AGL26" s="361"/>
      <c r="AGM26" s="279" t="s">
        <v>2003</v>
      </c>
      <c r="AGN26" s="279"/>
      <c r="AGO26" s="279"/>
      <c r="AGP26" s="279"/>
      <c r="AHP26" s="361"/>
      <c r="AHQ26" s="279" t="s">
        <v>2003</v>
      </c>
      <c r="AHR26" s="279"/>
      <c r="AHS26" s="279"/>
      <c r="AHT26" s="279"/>
      <c r="AIT26" s="361"/>
      <c r="AIU26" s="279" t="s">
        <v>2003</v>
      </c>
      <c r="AIV26" s="279"/>
      <c r="AIW26" s="279"/>
      <c r="AIX26" s="279"/>
      <c r="AJX26" s="361"/>
      <c r="AJY26" s="279" t="s">
        <v>2003</v>
      </c>
      <c r="AJZ26" s="279"/>
      <c r="AKA26" s="279"/>
      <c r="AKB26" s="279"/>
      <c r="ALB26" s="361"/>
      <c r="ALC26" s="279" t="s">
        <v>2003</v>
      </c>
      <c r="ALD26" s="279"/>
      <c r="ALE26" s="279"/>
      <c r="ALF26" s="279"/>
      <c r="AMF26" s="361"/>
      <c r="AMG26" s="279" t="s">
        <v>2003</v>
      </c>
      <c r="AMH26" s="279"/>
      <c r="AMI26" s="279"/>
      <c r="AMJ26" s="279"/>
    </row>
    <row r="27" spans="1:1024" x14ac:dyDescent="0.2">
      <c r="A27" s="362"/>
      <c r="AD27" s="364"/>
      <c r="AE27" s="362"/>
      <c r="BH27" s="364"/>
      <c r="BI27" s="362"/>
      <c r="CL27" s="364"/>
      <c r="CM27" s="362"/>
      <c r="DP27" s="364"/>
      <c r="DQ27" s="362"/>
      <c r="ET27" s="364"/>
      <c r="EU27" s="362"/>
      <c r="FX27" s="364"/>
      <c r="FY27" s="362"/>
      <c r="HB27" s="364"/>
      <c r="HC27" s="362"/>
      <c r="IF27" s="364"/>
      <c r="IG27" s="362"/>
      <c r="JJ27" s="364"/>
      <c r="JK27" s="362"/>
      <c r="KN27" s="364"/>
      <c r="KO27" s="362"/>
      <c r="LR27" s="364"/>
      <c r="LS27" s="362"/>
      <c r="MV27" s="364"/>
      <c r="MW27" s="362"/>
      <c r="NZ27" s="364"/>
      <c r="OA27" s="362"/>
      <c r="PD27" s="364"/>
      <c r="PE27" s="362"/>
      <c r="QH27" s="364"/>
      <c r="QI27" s="362"/>
      <c r="RL27" s="364"/>
      <c r="RM27" s="362"/>
      <c r="SP27" s="364"/>
      <c r="SQ27" s="362"/>
      <c r="TT27" s="364"/>
      <c r="TU27" s="362"/>
      <c r="UX27" s="364"/>
      <c r="UY27" s="362"/>
      <c r="WB27" s="364"/>
      <c r="WC27" s="362"/>
      <c r="XF27" s="364"/>
      <c r="XG27" s="362"/>
      <c r="YJ27" s="364"/>
      <c r="YK27" s="362"/>
      <c r="ZN27" s="364"/>
      <c r="ZO27" s="362"/>
      <c r="AAR27" s="364"/>
      <c r="AAS27" s="362"/>
      <c r="ABV27" s="364"/>
      <c r="ABW27" s="362"/>
      <c r="ACZ27" s="364"/>
      <c r="ADA27" s="362"/>
      <c r="AED27" s="364"/>
      <c r="AEE27" s="362"/>
      <c r="AFH27" s="364"/>
      <c r="AFI27" s="362"/>
      <c r="AGL27" s="364"/>
      <c r="AGM27" s="362"/>
      <c r="AHP27" s="364"/>
      <c r="AHQ27" s="362"/>
      <c r="AIT27" s="364"/>
      <c r="AIU27" s="362"/>
      <c r="AJX27" s="364"/>
      <c r="AJY27" s="362"/>
      <c r="ALB27" s="364"/>
      <c r="ALC27" s="362"/>
      <c r="AMF27" s="364"/>
      <c r="AMG27" s="362"/>
    </row>
    <row r="28" spans="1:1024" x14ac:dyDescent="0.2">
      <c r="A28" s="362"/>
      <c r="B28" s="363"/>
      <c r="C28" s="365" t="s">
        <v>2004</v>
      </c>
      <c r="D28" s="365"/>
      <c r="E28" s="365"/>
      <c r="F28" s="365"/>
      <c r="G28" s="365"/>
      <c r="H28" s="365"/>
      <c r="I28" s="365"/>
      <c r="J28" s="365"/>
      <c r="K28" s="365"/>
      <c r="AD28" s="364"/>
      <c r="AE28" s="362"/>
      <c r="AG28" s="365" t="s">
        <v>2004</v>
      </c>
      <c r="AH28" s="365"/>
      <c r="AI28" s="365"/>
      <c r="AJ28" s="365"/>
      <c r="AK28" s="365"/>
      <c r="AL28" s="365"/>
      <c r="AM28" s="365"/>
      <c r="AN28" s="365"/>
      <c r="AO28" s="365"/>
      <c r="BH28" s="364"/>
      <c r="BI28" s="362"/>
      <c r="BK28" s="365" t="s">
        <v>2004</v>
      </c>
      <c r="BL28" s="365"/>
      <c r="BM28" s="365"/>
      <c r="BN28" s="365"/>
      <c r="BO28" s="365"/>
      <c r="BP28" s="365"/>
      <c r="BQ28" s="365"/>
      <c r="BR28" s="365"/>
      <c r="BS28" s="365"/>
      <c r="CL28" s="364"/>
      <c r="CM28" s="362"/>
      <c r="CO28" s="365" t="s">
        <v>2004</v>
      </c>
      <c r="CP28" s="365"/>
      <c r="CQ28" s="365"/>
      <c r="CR28" s="365"/>
      <c r="CS28" s="365"/>
      <c r="CT28" s="365"/>
      <c r="CU28" s="365"/>
      <c r="CV28" s="365"/>
      <c r="CW28" s="365"/>
      <c r="DP28" s="364"/>
      <c r="DQ28" s="362"/>
      <c r="DS28" s="365" t="s">
        <v>2004</v>
      </c>
      <c r="DT28" s="365"/>
      <c r="DU28" s="365"/>
      <c r="DV28" s="365"/>
      <c r="DW28" s="365"/>
      <c r="DX28" s="365"/>
      <c r="DY28" s="365"/>
      <c r="DZ28" s="365"/>
      <c r="EA28" s="365"/>
      <c r="ET28" s="364"/>
      <c r="EU28" s="362"/>
      <c r="EW28" s="365" t="s">
        <v>2004</v>
      </c>
      <c r="EX28" s="365"/>
      <c r="EY28" s="365"/>
      <c r="EZ28" s="365"/>
      <c r="FA28" s="365"/>
      <c r="FB28" s="365"/>
      <c r="FC28" s="365"/>
      <c r="FD28" s="365"/>
      <c r="FE28" s="365"/>
      <c r="FX28" s="364"/>
      <c r="FY28" s="362"/>
      <c r="GA28" s="365" t="s">
        <v>2004</v>
      </c>
      <c r="GB28" s="365"/>
      <c r="GC28" s="365"/>
      <c r="GD28" s="365"/>
      <c r="GE28" s="365"/>
      <c r="GF28" s="365"/>
      <c r="GG28" s="365"/>
      <c r="GH28" s="365"/>
      <c r="GI28" s="365"/>
      <c r="HB28" s="364"/>
      <c r="HC28" s="362"/>
      <c r="HE28" s="365" t="s">
        <v>2004</v>
      </c>
      <c r="HF28" s="365"/>
      <c r="HG28" s="365"/>
      <c r="HH28" s="365"/>
      <c r="HI28" s="365"/>
      <c r="HJ28" s="365"/>
      <c r="HK28" s="365"/>
      <c r="HL28" s="365"/>
      <c r="HM28" s="365"/>
      <c r="IF28" s="364"/>
      <c r="IG28" s="362"/>
      <c r="II28" s="365" t="s">
        <v>2004</v>
      </c>
      <c r="IJ28" s="365"/>
      <c r="IK28" s="365"/>
      <c r="IL28" s="365"/>
      <c r="IM28" s="365"/>
      <c r="IN28" s="365"/>
      <c r="IO28" s="365"/>
      <c r="IP28" s="365"/>
      <c r="IQ28" s="365"/>
      <c r="JJ28" s="364"/>
      <c r="JK28" s="362"/>
      <c r="JM28" s="365" t="s">
        <v>2004</v>
      </c>
      <c r="JN28" s="365"/>
      <c r="JO28" s="365"/>
      <c r="JP28" s="365"/>
      <c r="JQ28" s="365"/>
      <c r="JR28" s="365"/>
      <c r="JS28" s="365"/>
      <c r="JT28" s="365"/>
      <c r="JU28" s="365"/>
      <c r="KN28" s="364"/>
      <c r="KO28" s="362"/>
      <c r="KQ28" s="365" t="s">
        <v>2004</v>
      </c>
      <c r="KR28" s="365"/>
      <c r="KS28" s="365"/>
      <c r="KT28" s="365"/>
      <c r="KU28" s="365"/>
      <c r="KV28" s="365"/>
      <c r="KW28" s="365"/>
      <c r="KX28" s="365"/>
      <c r="KY28" s="365"/>
      <c r="LR28" s="364"/>
      <c r="LS28" s="362"/>
      <c r="LU28" s="365" t="s">
        <v>2004</v>
      </c>
      <c r="LV28" s="365"/>
      <c r="LW28" s="365"/>
      <c r="LX28" s="365"/>
      <c r="LY28" s="365"/>
      <c r="LZ28" s="365"/>
      <c r="MA28" s="365"/>
      <c r="MB28" s="365"/>
      <c r="MC28" s="365"/>
      <c r="MV28" s="364"/>
      <c r="MW28" s="362"/>
      <c r="MY28" s="365" t="s">
        <v>2004</v>
      </c>
      <c r="MZ28" s="365"/>
      <c r="NA28" s="365"/>
      <c r="NB28" s="365"/>
      <c r="NC28" s="365"/>
      <c r="ND28" s="365"/>
      <c r="NE28" s="365"/>
      <c r="NF28" s="365"/>
      <c r="NG28" s="365"/>
      <c r="NZ28" s="364"/>
      <c r="OA28" s="362"/>
      <c r="OC28" s="365" t="s">
        <v>2004</v>
      </c>
      <c r="OD28" s="365"/>
      <c r="OE28" s="365"/>
      <c r="OF28" s="365"/>
      <c r="OG28" s="365"/>
      <c r="OH28" s="365"/>
      <c r="OI28" s="365"/>
      <c r="OJ28" s="365"/>
      <c r="OK28" s="365"/>
      <c r="PD28" s="364"/>
      <c r="PE28" s="362"/>
      <c r="PG28" s="365" t="s">
        <v>2004</v>
      </c>
      <c r="PH28" s="365"/>
      <c r="PI28" s="365"/>
      <c r="PJ28" s="365"/>
      <c r="PK28" s="365"/>
      <c r="PL28" s="365"/>
      <c r="PM28" s="365"/>
      <c r="PN28" s="365"/>
      <c r="PO28" s="365"/>
      <c r="QH28" s="364"/>
      <c r="QI28" s="362"/>
      <c r="QK28" s="365" t="s">
        <v>2004</v>
      </c>
      <c r="QL28" s="365"/>
      <c r="QM28" s="365"/>
      <c r="QN28" s="365"/>
      <c r="QO28" s="365"/>
      <c r="QP28" s="365"/>
      <c r="QQ28" s="365"/>
      <c r="QR28" s="365"/>
      <c r="QS28" s="365"/>
      <c r="RL28" s="364"/>
      <c r="RM28" s="362"/>
      <c r="RO28" s="365" t="s">
        <v>2004</v>
      </c>
      <c r="RP28" s="365"/>
      <c r="RQ28" s="365"/>
      <c r="RR28" s="365"/>
      <c r="RS28" s="365"/>
      <c r="RT28" s="365"/>
      <c r="RU28" s="365"/>
      <c r="RV28" s="365"/>
      <c r="RW28" s="365"/>
      <c r="SP28" s="364"/>
      <c r="SQ28" s="362"/>
      <c r="SS28" s="365" t="s">
        <v>2004</v>
      </c>
      <c r="ST28" s="365"/>
      <c r="SU28" s="365"/>
      <c r="SV28" s="365"/>
      <c r="SW28" s="365"/>
      <c r="SX28" s="365"/>
      <c r="SY28" s="365"/>
      <c r="SZ28" s="365"/>
      <c r="TA28" s="365"/>
      <c r="TT28" s="364"/>
      <c r="TU28" s="362"/>
      <c r="TW28" s="365" t="s">
        <v>2004</v>
      </c>
      <c r="TX28" s="365"/>
      <c r="TY28" s="365"/>
      <c r="TZ28" s="365"/>
      <c r="UA28" s="365"/>
      <c r="UB28" s="365"/>
      <c r="UC28" s="365"/>
      <c r="UD28" s="365"/>
      <c r="UE28" s="365"/>
      <c r="UX28" s="364"/>
      <c r="UY28" s="362"/>
      <c r="VA28" s="365" t="s">
        <v>2004</v>
      </c>
      <c r="VB28" s="365"/>
      <c r="VC28" s="365"/>
      <c r="VD28" s="365"/>
      <c r="VE28" s="365"/>
      <c r="VF28" s="365"/>
      <c r="VG28" s="365"/>
      <c r="VH28" s="365"/>
      <c r="VI28" s="365"/>
      <c r="WB28" s="364"/>
      <c r="WC28" s="362"/>
      <c r="WE28" s="365" t="s">
        <v>2004</v>
      </c>
      <c r="WF28" s="365"/>
      <c r="WG28" s="365"/>
      <c r="WH28" s="365"/>
      <c r="WI28" s="365"/>
      <c r="WJ28" s="365"/>
      <c r="WK28" s="365"/>
      <c r="WL28" s="365"/>
      <c r="WM28" s="365"/>
      <c r="XF28" s="364"/>
      <c r="XG28" s="362"/>
      <c r="XI28" s="365" t="s">
        <v>2004</v>
      </c>
      <c r="XJ28" s="365"/>
      <c r="XK28" s="365"/>
      <c r="XL28" s="365"/>
      <c r="XM28" s="365"/>
      <c r="XN28" s="365"/>
      <c r="XO28" s="365"/>
      <c r="XP28" s="365"/>
      <c r="XQ28" s="365"/>
      <c r="YJ28" s="364"/>
      <c r="YK28" s="362"/>
      <c r="YM28" s="365" t="s">
        <v>2004</v>
      </c>
      <c r="YN28" s="365"/>
      <c r="YO28" s="365"/>
      <c r="YP28" s="365"/>
      <c r="YQ28" s="365"/>
      <c r="YR28" s="365"/>
      <c r="YS28" s="365"/>
      <c r="YT28" s="365"/>
      <c r="YU28" s="365"/>
      <c r="ZN28" s="364"/>
      <c r="ZO28" s="362"/>
      <c r="ZQ28" s="365" t="s">
        <v>2004</v>
      </c>
      <c r="ZR28" s="365"/>
      <c r="ZS28" s="365"/>
      <c r="ZT28" s="365"/>
      <c r="ZU28" s="365"/>
      <c r="ZV28" s="365"/>
      <c r="ZW28" s="365"/>
      <c r="ZX28" s="365"/>
      <c r="ZY28" s="365"/>
      <c r="AAR28" s="364"/>
      <c r="AAS28" s="362"/>
      <c r="AAU28" s="365" t="s">
        <v>2004</v>
      </c>
      <c r="AAV28" s="365"/>
      <c r="AAW28" s="365"/>
      <c r="AAX28" s="365"/>
      <c r="AAY28" s="365"/>
      <c r="AAZ28" s="365"/>
      <c r="ABA28" s="365"/>
      <c r="ABB28" s="365"/>
      <c r="ABC28" s="365"/>
      <c r="ABV28" s="364"/>
      <c r="ABW28" s="362"/>
      <c r="ABY28" s="365" t="s">
        <v>2004</v>
      </c>
      <c r="ABZ28" s="365"/>
      <c r="ACA28" s="365"/>
      <c r="ACB28" s="365"/>
      <c r="ACC28" s="365"/>
      <c r="ACD28" s="365"/>
      <c r="ACE28" s="365"/>
      <c r="ACF28" s="365"/>
      <c r="ACG28" s="365"/>
      <c r="ACZ28" s="364"/>
      <c r="ADA28" s="362"/>
      <c r="ADC28" s="365" t="s">
        <v>2004</v>
      </c>
      <c r="ADD28" s="365"/>
      <c r="ADE28" s="365"/>
      <c r="ADF28" s="365"/>
      <c r="ADG28" s="365"/>
      <c r="ADH28" s="365"/>
      <c r="ADI28" s="365"/>
      <c r="ADJ28" s="365"/>
      <c r="ADK28" s="365"/>
      <c r="AED28" s="364"/>
      <c r="AEE28" s="362"/>
      <c r="AEG28" s="365" t="s">
        <v>2004</v>
      </c>
      <c r="AEH28" s="365"/>
      <c r="AEI28" s="365"/>
      <c r="AEJ28" s="365"/>
      <c r="AEK28" s="365"/>
      <c r="AEL28" s="365"/>
      <c r="AEM28" s="365"/>
      <c r="AEN28" s="365"/>
      <c r="AEO28" s="365"/>
      <c r="AFH28" s="364"/>
      <c r="AFI28" s="362"/>
      <c r="AFK28" s="365" t="s">
        <v>2004</v>
      </c>
      <c r="AFL28" s="365"/>
      <c r="AFM28" s="365"/>
      <c r="AFN28" s="365"/>
      <c r="AFO28" s="365"/>
      <c r="AFP28" s="365"/>
      <c r="AFQ28" s="365"/>
      <c r="AFR28" s="365"/>
      <c r="AFS28" s="365"/>
      <c r="AGL28" s="364"/>
      <c r="AGM28" s="362"/>
      <c r="AGO28" s="365" t="s">
        <v>2004</v>
      </c>
      <c r="AGP28" s="365"/>
      <c r="AGQ28" s="365"/>
      <c r="AGR28" s="365"/>
      <c r="AGS28" s="365"/>
      <c r="AGT28" s="365"/>
      <c r="AGU28" s="365"/>
      <c r="AGV28" s="365"/>
      <c r="AGW28" s="365"/>
      <c r="AHP28" s="364"/>
      <c r="AHQ28" s="362"/>
      <c r="AHS28" s="365" t="s">
        <v>2004</v>
      </c>
      <c r="AHT28" s="365"/>
      <c r="AHU28" s="365"/>
      <c r="AHV28" s="365"/>
      <c r="AHW28" s="365"/>
      <c r="AHX28" s="365"/>
      <c r="AHY28" s="365"/>
      <c r="AHZ28" s="365"/>
      <c r="AIA28" s="365"/>
      <c r="AIT28" s="364"/>
      <c r="AIU28" s="362"/>
      <c r="AIW28" s="365" t="s">
        <v>2004</v>
      </c>
      <c r="AIX28" s="365"/>
      <c r="AIY28" s="365"/>
      <c r="AIZ28" s="365"/>
      <c r="AJA28" s="365"/>
      <c r="AJB28" s="365"/>
      <c r="AJC28" s="365"/>
      <c r="AJD28" s="365"/>
      <c r="AJE28" s="365"/>
      <c r="AJX28" s="364"/>
      <c r="AJY28" s="362"/>
      <c r="AKA28" s="365" t="s">
        <v>2004</v>
      </c>
      <c r="AKB28" s="365"/>
      <c r="AKC28" s="365"/>
      <c r="AKD28" s="365"/>
      <c r="AKE28" s="365"/>
      <c r="AKF28" s="365"/>
      <c r="AKG28" s="365"/>
      <c r="AKH28" s="365"/>
      <c r="AKI28" s="365"/>
      <c r="ALB28" s="364"/>
      <c r="ALC28" s="362"/>
      <c r="ALE28" s="365" t="s">
        <v>2004</v>
      </c>
      <c r="ALF28" s="365"/>
      <c r="ALG28" s="365"/>
      <c r="ALH28" s="365"/>
      <c r="ALI28" s="365"/>
      <c r="ALJ28" s="365"/>
      <c r="ALK28" s="365"/>
      <c r="ALL28" s="365"/>
      <c r="ALM28" s="365"/>
      <c r="AMF28" s="364"/>
      <c r="AMG28" s="362"/>
      <c r="AMI28" s="365" t="s">
        <v>2004</v>
      </c>
      <c r="AMJ28" s="365"/>
    </row>
    <row r="29" spans="1:1024" x14ac:dyDescent="0.2">
      <c r="A29" s="362"/>
      <c r="B29" s="363"/>
      <c r="C29" s="365" t="s">
        <v>2005</v>
      </c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AA29" s="366"/>
      <c r="AB29" s="366"/>
      <c r="AC29" s="366"/>
      <c r="AD29" s="364"/>
      <c r="AE29" s="362"/>
      <c r="AG29" s="365" t="s">
        <v>2005</v>
      </c>
      <c r="AH29" s="365"/>
      <c r="AI29" s="365"/>
      <c r="AJ29" s="365"/>
      <c r="AK29" s="365"/>
      <c r="AL29" s="365"/>
      <c r="AM29" s="365"/>
      <c r="AN29" s="365"/>
      <c r="AO29" s="365"/>
      <c r="AP29" s="365"/>
      <c r="AQ29" s="365"/>
      <c r="AR29" s="365"/>
      <c r="BE29" s="366"/>
      <c r="BF29" s="366"/>
      <c r="BG29" s="366"/>
      <c r="BH29" s="364"/>
      <c r="BI29" s="362"/>
      <c r="BK29" s="365" t="s">
        <v>2005</v>
      </c>
      <c r="BL29" s="365"/>
      <c r="BM29" s="365"/>
      <c r="BN29" s="365"/>
      <c r="BO29" s="365"/>
      <c r="BP29" s="365"/>
      <c r="BQ29" s="365"/>
      <c r="BR29" s="365"/>
      <c r="BS29" s="365"/>
      <c r="BT29" s="365"/>
      <c r="BU29" s="365"/>
      <c r="BV29" s="365"/>
      <c r="CI29" s="366"/>
      <c r="CJ29" s="366"/>
      <c r="CK29" s="366"/>
      <c r="CL29" s="364"/>
      <c r="CM29" s="362"/>
      <c r="CO29" s="365" t="s">
        <v>2005</v>
      </c>
      <c r="CP29" s="365"/>
      <c r="CQ29" s="365"/>
      <c r="CR29" s="365"/>
      <c r="CS29" s="365"/>
      <c r="CT29" s="365"/>
      <c r="CU29" s="365"/>
      <c r="CV29" s="365"/>
      <c r="CW29" s="365"/>
      <c r="CX29" s="365"/>
      <c r="CY29" s="365"/>
      <c r="CZ29" s="365"/>
      <c r="DM29" s="366"/>
      <c r="DN29" s="366"/>
      <c r="DO29" s="366"/>
      <c r="DP29" s="364"/>
      <c r="DQ29" s="362"/>
      <c r="DS29" s="365" t="s">
        <v>2005</v>
      </c>
      <c r="DT29" s="365"/>
      <c r="DU29" s="365"/>
      <c r="DV29" s="365"/>
      <c r="DW29" s="365"/>
      <c r="DX29" s="365"/>
      <c r="DY29" s="365"/>
      <c r="DZ29" s="365"/>
      <c r="EA29" s="365"/>
      <c r="EB29" s="365"/>
      <c r="EC29" s="365"/>
      <c r="ED29" s="365"/>
      <c r="EQ29" s="366"/>
      <c r="ER29" s="366"/>
      <c r="ES29" s="366"/>
      <c r="ET29" s="364"/>
      <c r="EU29" s="362"/>
      <c r="EW29" s="365" t="s">
        <v>2005</v>
      </c>
      <c r="EX29" s="365"/>
      <c r="EY29" s="365"/>
      <c r="EZ29" s="365"/>
      <c r="FA29" s="365"/>
      <c r="FB29" s="365"/>
      <c r="FC29" s="365"/>
      <c r="FD29" s="365"/>
      <c r="FE29" s="365"/>
      <c r="FF29" s="365"/>
      <c r="FG29" s="365"/>
      <c r="FH29" s="365"/>
      <c r="FU29" s="366"/>
      <c r="FV29" s="366"/>
      <c r="FW29" s="366"/>
      <c r="FX29" s="364"/>
      <c r="FY29" s="362"/>
      <c r="GA29" s="365" t="s">
        <v>2005</v>
      </c>
      <c r="GB29" s="365"/>
      <c r="GC29" s="365"/>
      <c r="GD29" s="365"/>
      <c r="GE29" s="365"/>
      <c r="GF29" s="365"/>
      <c r="GG29" s="365"/>
      <c r="GH29" s="365"/>
      <c r="GI29" s="365"/>
      <c r="GJ29" s="365"/>
      <c r="GK29" s="365"/>
      <c r="GL29" s="365"/>
      <c r="GY29" s="366"/>
      <c r="GZ29" s="366"/>
      <c r="HA29" s="366"/>
      <c r="HB29" s="364"/>
      <c r="HC29" s="362"/>
      <c r="HE29" s="365" t="s">
        <v>2005</v>
      </c>
      <c r="HF29" s="365"/>
      <c r="HG29" s="365"/>
      <c r="HH29" s="365"/>
      <c r="HI29" s="365"/>
      <c r="HJ29" s="365"/>
      <c r="HK29" s="365"/>
      <c r="HL29" s="365"/>
      <c r="HM29" s="365"/>
      <c r="HN29" s="365"/>
      <c r="HO29" s="365"/>
      <c r="HP29" s="365"/>
      <c r="IC29" s="366"/>
      <c r="ID29" s="366"/>
      <c r="IE29" s="366"/>
      <c r="IF29" s="364"/>
      <c r="IG29" s="362"/>
      <c r="II29" s="365" t="s">
        <v>2005</v>
      </c>
      <c r="IJ29" s="365"/>
      <c r="IK29" s="365"/>
      <c r="IL29" s="365"/>
      <c r="IM29" s="365"/>
      <c r="IN29" s="365"/>
      <c r="IO29" s="365"/>
      <c r="IP29" s="365"/>
      <c r="IQ29" s="365"/>
      <c r="IR29" s="365"/>
      <c r="IS29" s="365"/>
      <c r="IT29" s="365"/>
      <c r="JG29" s="366"/>
      <c r="JH29" s="366"/>
      <c r="JI29" s="366"/>
      <c r="JJ29" s="364"/>
      <c r="JK29" s="362"/>
      <c r="JM29" s="365" t="s">
        <v>2005</v>
      </c>
      <c r="JN29" s="365"/>
      <c r="JO29" s="365"/>
      <c r="JP29" s="365"/>
      <c r="JQ29" s="365"/>
      <c r="JR29" s="365"/>
      <c r="JS29" s="365"/>
      <c r="JT29" s="365"/>
      <c r="JU29" s="365"/>
      <c r="JV29" s="365"/>
      <c r="JW29" s="365"/>
      <c r="JX29" s="365"/>
      <c r="KK29" s="366"/>
      <c r="KL29" s="366"/>
      <c r="KM29" s="366"/>
      <c r="KN29" s="364"/>
      <c r="KO29" s="362"/>
      <c r="KQ29" s="365" t="s">
        <v>2005</v>
      </c>
      <c r="KR29" s="365"/>
      <c r="KS29" s="365"/>
      <c r="KT29" s="365"/>
      <c r="KU29" s="365"/>
      <c r="KV29" s="365"/>
      <c r="KW29" s="365"/>
      <c r="KX29" s="365"/>
      <c r="KY29" s="365"/>
      <c r="KZ29" s="365"/>
      <c r="LA29" s="365"/>
      <c r="LB29" s="365"/>
      <c r="LO29" s="366"/>
      <c r="LP29" s="366"/>
      <c r="LQ29" s="366"/>
      <c r="LR29" s="364"/>
      <c r="LS29" s="362"/>
      <c r="LU29" s="365" t="s">
        <v>2005</v>
      </c>
      <c r="LV29" s="365"/>
      <c r="LW29" s="365"/>
      <c r="LX29" s="365"/>
      <c r="LY29" s="365"/>
      <c r="LZ29" s="365"/>
      <c r="MA29" s="365"/>
      <c r="MB29" s="365"/>
      <c r="MC29" s="365"/>
      <c r="MD29" s="365"/>
      <c r="ME29" s="365"/>
      <c r="MF29" s="365"/>
      <c r="MS29" s="366"/>
      <c r="MT29" s="366"/>
      <c r="MU29" s="366"/>
      <c r="MV29" s="364"/>
      <c r="MW29" s="362"/>
      <c r="MY29" s="365" t="s">
        <v>2005</v>
      </c>
      <c r="MZ29" s="365"/>
      <c r="NA29" s="365"/>
      <c r="NB29" s="365"/>
      <c r="NC29" s="365"/>
      <c r="ND29" s="365"/>
      <c r="NE29" s="365"/>
      <c r="NF29" s="365"/>
      <c r="NG29" s="365"/>
      <c r="NH29" s="365"/>
      <c r="NI29" s="365"/>
      <c r="NJ29" s="365"/>
      <c r="NW29" s="366"/>
      <c r="NX29" s="366"/>
      <c r="NY29" s="366"/>
      <c r="NZ29" s="364"/>
      <c r="OA29" s="362"/>
      <c r="OC29" s="365" t="s">
        <v>2005</v>
      </c>
      <c r="OD29" s="365"/>
      <c r="OE29" s="365"/>
      <c r="OF29" s="365"/>
      <c r="OG29" s="365"/>
      <c r="OH29" s="365"/>
      <c r="OI29" s="365"/>
      <c r="OJ29" s="365"/>
      <c r="OK29" s="365"/>
      <c r="OL29" s="365"/>
      <c r="OM29" s="365"/>
      <c r="ON29" s="365"/>
      <c r="PA29" s="366"/>
      <c r="PB29" s="366"/>
      <c r="PC29" s="366"/>
      <c r="PD29" s="364"/>
      <c r="PE29" s="362"/>
      <c r="PG29" s="365" t="s">
        <v>2005</v>
      </c>
      <c r="PH29" s="365"/>
      <c r="PI29" s="365"/>
      <c r="PJ29" s="365"/>
      <c r="PK29" s="365"/>
      <c r="PL29" s="365"/>
      <c r="PM29" s="365"/>
      <c r="PN29" s="365"/>
      <c r="PO29" s="365"/>
      <c r="PP29" s="365"/>
      <c r="PQ29" s="365"/>
      <c r="PR29" s="365"/>
      <c r="QE29" s="366"/>
      <c r="QF29" s="366"/>
      <c r="QG29" s="366"/>
      <c r="QH29" s="364"/>
      <c r="QI29" s="362"/>
      <c r="QK29" s="365" t="s">
        <v>2005</v>
      </c>
      <c r="QL29" s="365"/>
      <c r="QM29" s="365"/>
      <c r="QN29" s="365"/>
      <c r="QO29" s="365"/>
      <c r="QP29" s="365"/>
      <c r="QQ29" s="365"/>
      <c r="QR29" s="365"/>
      <c r="QS29" s="365"/>
      <c r="QT29" s="365"/>
      <c r="QU29" s="365"/>
      <c r="QV29" s="365"/>
      <c r="RI29" s="366"/>
      <c r="RJ29" s="366"/>
      <c r="RK29" s="366"/>
      <c r="RL29" s="364"/>
      <c r="RM29" s="362"/>
      <c r="RO29" s="365" t="s">
        <v>2005</v>
      </c>
      <c r="RP29" s="365"/>
      <c r="RQ29" s="365"/>
      <c r="RR29" s="365"/>
      <c r="RS29" s="365"/>
      <c r="RT29" s="365"/>
      <c r="RU29" s="365"/>
      <c r="RV29" s="365"/>
      <c r="RW29" s="365"/>
      <c r="RX29" s="365"/>
      <c r="RY29" s="365"/>
      <c r="RZ29" s="365"/>
      <c r="SM29" s="366"/>
      <c r="SN29" s="366"/>
      <c r="SO29" s="366"/>
      <c r="SP29" s="364"/>
      <c r="SQ29" s="362"/>
      <c r="SS29" s="365" t="s">
        <v>2005</v>
      </c>
      <c r="ST29" s="365"/>
      <c r="SU29" s="365"/>
      <c r="SV29" s="365"/>
      <c r="SW29" s="365"/>
      <c r="SX29" s="365"/>
      <c r="SY29" s="365"/>
      <c r="SZ29" s="365"/>
      <c r="TA29" s="365"/>
      <c r="TB29" s="365"/>
      <c r="TC29" s="365"/>
      <c r="TD29" s="365"/>
      <c r="TQ29" s="366"/>
      <c r="TR29" s="366"/>
      <c r="TS29" s="366"/>
      <c r="TT29" s="364"/>
      <c r="TU29" s="362"/>
      <c r="TW29" s="365" t="s">
        <v>2005</v>
      </c>
      <c r="TX29" s="365"/>
      <c r="TY29" s="365"/>
      <c r="TZ29" s="365"/>
      <c r="UA29" s="365"/>
      <c r="UB29" s="365"/>
      <c r="UC29" s="365"/>
      <c r="UD29" s="365"/>
      <c r="UE29" s="365"/>
      <c r="UF29" s="365"/>
      <c r="UG29" s="365"/>
      <c r="UH29" s="365"/>
      <c r="UU29" s="366"/>
      <c r="UV29" s="366"/>
      <c r="UW29" s="366"/>
      <c r="UX29" s="364"/>
      <c r="UY29" s="362"/>
      <c r="VA29" s="365" t="s">
        <v>2005</v>
      </c>
      <c r="VB29" s="365"/>
      <c r="VC29" s="365"/>
      <c r="VD29" s="365"/>
      <c r="VE29" s="365"/>
      <c r="VF29" s="365"/>
      <c r="VG29" s="365"/>
      <c r="VH29" s="365"/>
      <c r="VI29" s="365"/>
      <c r="VJ29" s="365"/>
      <c r="VK29" s="365"/>
      <c r="VL29" s="365"/>
      <c r="VY29" s="366"/>
      <c r="VZ29" s="366"/>
      <c r="WA29" s="366"/>
      <c r="WB29" s="364"/>
      <c r="WC29" s="362"/>
      <c r="WE29" s="365" t="s">
        <v>2005</v>
      </c>
      <c r="WF29" s="365"/>
      <c r="WG29" s="365"/>
      <c r="WH29" s="365"/>
      <c r="WI29" s="365"/>
      <c r="WJ29" s="365"/>
      <c r="WK29" s="365"/>
      <c r="WL29" s="365"/>
      <c r="WM29" s="365"/>
      <c r="WN29" s="365"/>
      <c r="WO29" s="365"/>
      <c r="WP29" s="365"/>
      <c r="XC29" s="366"/>
      <c r="XD29" s="366"/>
      <c r="XE29" s="366"/>
      <c r="XF29" s="364"/>
      <c r="XG29" s="362"/>
      <c r="XI29" s="365" t="s">
        <v>2005</v>
      </c>
      <c r="XJ29" s="365"/>
      <c r="XK29" s="365"/>
      <c r="XL29" s="365"/>
      <c r="XM29" s="365"/>
      <c r="XN29" s="365"/>
      <c r="XO29" s="365"/>
      <c r="XP29" s="365"/>
      <c r="XQ29" s="365"/>
      <c r="XR29" s="365"/>
      <c r="XS29" s="365"/>
      <c r="XT29" s="365"/>
      <c r="YG29" s="366"/>
      <c r="YH29" s="366"/>
      <c r="YI29" s="366"/>
      <c r="YJ29" s="364"/>
      <c r="YK29" s="362"/>
      <c r="YM29" s="365" t="s">
        <v>2005</v>
      </c>
      <c r="YN29" s="365"/>
      <c r="YO29" s="365"/>
      <c r="YP29" s="365"/>
      <c r="YQ29" s="365"/>
      <c r="YR29" s="365"/>
      <c r="YS29" s="365"/>
      <c r="YT29" s="365"/>
      <c r="YU29" s="365"/>
      <c r="YV29" s="365"/>
      <c r="YW29" s="365"/>
      <c r="YX29" s="365"/>
      <c r="ZK29" s="366"/>
      <c r="ZL29" s="366"/>
      <c r="ZM29" s="366"/>
      <c r="ZN29" s="364"/>
      <c r="ZO29" s="362"/>
      <c r="ZQ29" s="365" t="s">
        <v>2005</v>
      </c>
      <c r="ZR29" s="365"/>
      <c r="ZS29" s="365"/>
      <c r="ZT29" s="365"/>
      <c r="ZU29" s="365"/>
      <c r="ZV29" s="365"/>
      <c r="ZW29" s="365"/>
      <c r="ZX29" s="365"/>
      <c r="ZY29" s="365"/>
      <c r="ZZ29" s="365"/>
      <c r="AAA29" s="365"/>
      <c r="AAB29" s="365"/>
      <c r="AAO29" s="366"/>
      <c r="AAP29" s="366"/>
      <c r="AAQ29" s="366"/>
      <c r="AAR29" s="364"/>
      <c r="AAS29" s="362"/>
      <c r="AAU29" s="365" t="s">
        <v>2005</v>
      </c>
      <c r="AAV29" s="365"/>
      <c r="AAW29" s="365"/>
      <c r="AAX29" s="365"/>
      <c r="AAY29" s="365"/>
      <c r="AAZ29" s="365"/>
      <c r="ABA29" s="365"/>
      <c r="ABB29" s="365"/>
      <c r="ABC29" s="365"/>
      <c r="ABD29" s="365"/>
      <c r="ABE29" s="365"/>
      <c r="ABF29" s="365"/>
      <c r="ABS29" s="366"/>
      <c r="ABT29" s="366"/>
      <c r="ABU29" s="366"/>
      <c r="ABV29" s="364"/>
      <c r="ABW29" s="362"/>
      <c r="ABY29" s="365" t="s">
        <v>2005</v>
      </c>
      <c r="ABZ29" s="365"/>
      <c r="ACA29" s="365"/>
      <c r="ACB29" s="365"/>
      <c r="ACC29" s="365"/>
      <c r="ACD29" s="365"/>
      <c r="ACE29" s="365"/>
      <c r="ACF29" s="365"/>
      <c r="ACG29" s="365"/>
      <c r="ACH29" s="365"/>
      <c r="ACI29" s="365"/>
      <c r="ACJ29" s="365"/>
      <c r="ACW29" s="366"/>
      <c r="ACX29" s="366"/>
      <c r="ACY29" s="366"/>
      <c r="ACZ29" s="364"/>
      <c r="ADA29" s="362"/>
      <c r="ADC29" s="365" t="s">
        <v>2005</v>
      </c>
      <c r="ADD29" s="365"/>
      <c r="ADE29" s="365"/>
      <c r="ADF29" s="365"/>
      <c r="ADG29" s="365"/>
      <c r="ADH29" s="365"/>
      <c r="ADI29" s="365"/>
      <c r="ADJ29" s="365"/>
      <c r="ADK29" s="365"/>
      <c r="ADL29" s="365"/>
      <c r="ADM29" s="365"/>
      <c r="ADN29" s="365"/>
      <c r="AEA29" s="366"/>
      <c r="AEB29" s="366"/>
      <c r="AEC29" s="366"/>
      <c r="AED29" s="364"/>
      <c r="AEE29" s="362"/>
      <c r="AEG29" s="365" t="s">
        <v>2005</v>
      </c>
      <c r="AEH29" s="365"/>
      <c r="AEI29" s="365"/>
      <c r="AEJ29" s="365"/>
      <c r="AEK29" s="365"/>
      <c r="AEL29" s="365"/>
      <c r="AEM29" s="365"/>
      <c r="AEN29" s="365"/>
      <c r="AEO29" s="365"/>
      <c r="AEP29" s="365"/>
      <c r="AEQ29" s="365"/>
      <c r="AER29" s="365"/>
      <c r="AFE29" s="366"/>
      <c r="AFF29" s="366"/>
      <c r="AFG29" s="366"/>
      <c r="AFH29" s="364"/>
      <c r="AFI29" s="362"/>
      <c r="AFK29" s="365" t="s">
        <v>2005</v>
      </c>
      <c r="AFL29" s="365"/>
      <c r="AFM29" s="365"/>
      <c r="AFN29" s="365"/>
      <c r="AFO29" s="365"/>
      <c r="AFP29" s="365"/>
      <c r="AFQ29" s="365"/>
      <c r="AFR29" s="365"/>
      <c r="AFS29" s="365"/>
      <c r="AFT29" s="365"/>
      <c r="AFU29" s="365"/>
      <c r="AFV29" s="365"/>
      <c r="AGI29" s="366"/>
      <c r="AGJ29" s="366"/>
      <c r="AGK29" s="366"/>
      <c r="AGL29" s="364"/>
      <c r="AGM29" s="362"/>
      <c r="AGO29" s="365" t="s">
        <v>2005</v>
      </c>
      <c r="AGP29" s="365"/>
      <c r="AGQ29" s="365"/>
      <c r="AGR29" s="365"/>
      <c r="AGS29" s="365"/>
      <c r="AGT29" s="365"/>
      <c r="AGU29" s="365"/>
      <c r="AGV29" s="365"/>
      <c r="AGW29" s="365"/>
      <c r="AGX29" s="365"/>
      <c r="AGY29" s="365"/>
      <c r="AGZ29" s="365"/>
      <c r="AHM29" s="366"/>
      <c r="AHN29" s="366"/>
      <c r="AHO29" s="366"/>
      <c r="AHP29" s="364"/>
      <c r="AHQ29" s="362"/>
      <c r="AHS29" s="365" t="s">
        <v>2005</v>
      </c>
      <c r="AHT29" s="365"/>
      <c r="AHU29" s="365"/>
      <c r="AHV29" s="365"/>
      <c r="AHW29" s="365"/>
      <c r="AHX29" s="365"/>
      <c r="AHY29" s="365"/>
      <c r="AHZ29" s="365"/>
      <c r="AIA29" s="365"/>
      <c r="AIB29" s="365"/>
      <c r="AIC29" s="365"/>
      <c r="AID29" s="365"/>
      <c r="AIQ29" s="366"/>
      <c r="AIR29" s="366"/>
      <c r="AIS29" s="366"/>
      <c r="AIT29" s="364"/>
      <c r="AIU29" s="362"/>
      <c r="AIW29" s="365" t="s">
        <v>2005</v>
      </c>
      <c r="AIX29" s="365"/>
      <c r="AIY29" s="365"/>
      <c r="AIZ29" s="365"/>
      <c r="AJA29" s="365"/>
      <c r="AJB29" s="365"/>
      <c r="AJC29" s="365"/>
      <c r="AJD29" s="365"/>
      <c r="AJE29" s="365"/>
      <c r="AJF29" s="365"/>
      <c r="AJG29" s="365"/>
      <c r="AJH29" s="365"/>
      <c r="AJU29" s="366"/>
      <c r="AJV29" s="366"/>
      <c r="AJW29" s="366"/>
      <c r="AJX29" s="364"/>
      <c r="AJY29" s="362"/>
      <c r="AKA29" s="365" t="s">
        <v>2005</v>
      </c>
      <c r="AKB29" s="365"/>
      <c r="AKC29" s="365"/>
      <c r="AKD29" s="365"/>
      <c r="AKE29" s="365"/>
      <c r="AKF29" s="365"/>
      <c r="AKG29" s="365"/>
      <c r="AKH29" s="365"/>
      <c r="AKI29" s="365"/>
      <c r="AKJ29" s="365"/>
      <c r="AKK29" s="365"/>
      <c r="AKL29" s="365"/>
      <c r="AKY29" s="366"/>
      <c r="AKZ29" s="366"/>
      <c r="ALA29" s="366"/>
      <c r="ALB29" s="364"/>
      <c r="ALC29" s="362"/>
      <c r="ALE29" s="365" t="s">
        <v>2005</v>
      </c>
      <c r="ALF29" s="365"/>
      <c r="ALG29" s="365"/>
      <c r="ALH29" s="365"/>
      <c r="ALI29" s="365"/>
      <c r="ALJ29" s="365"/>
      <c r="ALK29" s="365"/>
      <c r="ALL29" s="365"/>
      <c r="ALM29" s="365"/>
      <c r="ALN29" s="365"/>
      <c r="ALO29" s="365"/>
      <c r="ALP29" s="365"/>
      <c r="AMC29" s="366"/>
      <c r="AMD29" s="366"/>
      <c r="AME29" s="366"/>
      <c r="AMF29" s="364"/>
      <c r="AMG29" s="362"/>
      <c r="AMI29" s="365" t="s">
        <v>2005</v>
      </c>
      <c r="AMJ29" s="365"/>
    </row>
    <row r="30" spans="1:1024" x14ac:dyDescent="0.2">
      <c r="A30" s="367"/>
      <c r="B30" s="368"/>
      <c r="C30" s="369" t="s">
        <v>2006</v>
      </c>
      <c r="R30" s="368"/>
      <c r="S30" s="368"/>
      <c r="T30" s="368"/>
      <c r="U30" s="368"/>
      <c r="V30" s="368"/>
      <c r="W30" s="368"/>
      <c r="X30" s="368"/>
      <c r="Y30" s="370" t="s">
        <v>2007</v>
      </c>
      <c r="Z30" s="370"/>
      <c r="AA30" s="370"/>
      <c r="AB30" s="368" t="s">
        <v>2008</v>
      </c>
      <c r="AC30" s="368"/>
      <c r="AD30" s="371"/>
      <c r="AE30" s="367"/>
      <c r="AF30" s="368"/>
      <c r="AG30" s="369" t="s">
        <v>2006</v>
      </c>
      <c r="AV30" s="368"/>
      <c r="AW30" s="368"/>
      <c r="AX30" s="368"/>
      <c r="AY30" s="368"/>
      <c r="AZ30" s="368"/>
      <c r="BA30" s="368"/>
      <c r="BB30" s="368"/>
      <c r="BC30" s="370" t="s">
        <v>2007</v>
      </c>
      <c r="BD30" s="370"/>
      <c r="BE30" s="370"/>
      <c r="BF30" s="368" t="s">
        <v>2008</v>
      </c>
      <c r="BG30" s="368"/>
      <c r="BH30" s="371"/>
      <c r="BI30" s="367"/>
      <c r="BJ30" s="368"/>
      <c r="BK30" s="369" t="s">
        <v>2006</v>
      </c>
      <c r="BZ30" s="368"/>
      <c r="CA30" s="368"/>
      <c r="CB30" s="368"/>
      <c r="CC30" s="368"/>
      <c r="CD30" s="368"/>
      <c r="CE30" s="368"/>
      <c r="CF30" s="368"/>
      <c r="CG30" s="370" t="s">
        <v>2007</v>
      </c>
      <c r="CH30" s="370"/>
      <c r="CI30" s="370"/>
      <c r="CJ30" s="368" t="s">
        <v>2008</v>
      </c>
      <c r="CK30" s="368"/>
      <c r="CL30" s="371"/>
      <c r="CM30" s="367"/>
      <c r="CN30" s="368"/>
      <c r="CO30" s="369" t="s">
        <v>2006</v>
      </c>
      <c r="DD30" s="368"/>
      <c r="DE30" s="368"/>
      <c r="DF30" s="368"/>
      <c r="DG30" s="368"/>
      <c r="DH30" s="368"/>
      <c r="DI30" s="368"/>
      <c r="DJ30" s="368"/>
      <c r="DK30" s="370" t="s">
        <v>2007</v>
      </c>
      <c r="DL30" s="370"/>
      <c r="DM30" s="370"/>
      <c r="DN30" s="368" t="s">
        <v>2008</v>
      </c>
      <c r="DO30" s="368"/>
      <c r="DP30" s="371"/>
      <c r="DQ30" s="367"/>
      <c r="DR30" s="368"/>
      <c r="DS30" s="369" t="s">
        <v>2006</v>
      </c>
      <c r="EH30" s="368"/>
      <c r="EI30" s="368"/>
      <c r="EJ30" s="368"/>
      <c r="EK30" s="368"/>
      <c r="EL30" s="368"/>
      <c r="EM30" s="368"/>
      <c r="EN30" s="368"/>
      <c r="EO30" s="370" t="s">
        <v>2007</v>
      </c>
      <c r="EP30" s="370"/>
      <c r="EQ30" s="370"/>
      <c r="ER30" s="368" t="s">
        <v>2008</v>
      </c>
      <c r="ES30" s="368"/>
      <c r="ET30" s="371"/>
      <c r="EU30" s="367"/>
      <c r="EV30" s="368"/>
      <c r="EW30" s="369" t="s">
        <v>2006</v>
      </c>
      <c r="FL30" s="368"/>
      <c r="FM30" s="368"/>
      <c r="FN30" s="368"/>
      <c r="FO30" s="368"/>
      <c r="FP30" s="368"/>
      <c r="FQ30" s="368"/>
      <c r="FR30" s="368"/>
      <c r="FS30" s="370" t="s">
        <v>2007</v>
      </c>
      <c r="FT30" s="370"/>
      <c r="FU30" s="370"/>
      <c r="FV30" s="368" t="s">
        <v>2008</v>
      </c>
      <c r="FW30" s="368"/>
      <c r="FX30" s="371"/>
      <c r="FY30" s="367"/>
      <c r="FZ30" s="368"/>
      <c r="GA30" s="369" t="s">
        <v>2006</v>
      </c>
      <c r="GP30" s="368"/>
      <c r="GQ30" s="368"/>
      <c r="GR30" s="368"/>
      <c r="GS30" s="368"/>
      <c r="GT30" s="368"/>
      <c r="GU30" s="368"/>
      <c r="GV30" s="368"/>
      <c r="GW30" s="370" t="s">
        <v>2007</v>
      </c>
      <c r="GX30" s="370"/>
      <c r="GY30" s="370"/>
      <c r="GZ30" s="368" t="s">
        <v>2008</v>
      </c>
      <c r="HA30" s="368"/>
      <c r="HB30" s="371"/>
      <c r="HC30" s="367"/>
      <c r="HD30" s="368"/>
      <c r="HE30" s="369" t="s">
        <v>2006</v>
      </c>
      <c r="HT30" s="368"/>
      <c r="HU30" s="368"/>
      <c r="HV30" s="368"/>
      <c r="HW30" s="368"/>
      <c r="HX30" s="368"/>
      <c r="HY30" s="368"/>
      <c r="HZ30" s="368"/>
      <c r="IA30" s="370" t="s">
        <v>2007</v>
      </c>
      <c r="IB30" s="370"/>
      <c r="IC30" s="370"/>
      <c r="ID30" s="368" t="s">
        <v>2008</v>
      </c>
      <c r="IE30" s="368"/>
      <c r="IF30" s="371"/>
      <c r="IG30" s="367"/>
      <c r="IH30" s="368"/>
      <c r="II30" s="369" t="s">
        <v>2006</v>
      </c>
      <c r="IX30" s="368"/>
      <c r="IY30" s="368"/>
      <c r="IZ30" s="368"/>
      <c r="JA30" s="368"/>
      <c r="JB30" s="368"/>
      <c r="JC30" s="368"/>
      <c r="JD30" s="368"/>
      <c r="JE30" s="370" t="s">
        <v>2007</v>
      </c>
      <c r="JF30" s="370"/>
      <c r="JG30" s="370"/>
      <c r="JH30" s="368" t="s">
        <v>2008</v>
      </c>
      <c r="JI30" s="368"/>
      <c r="JJ30" s="371"/>
      <c r="JK30" s="367"/>
      <c r="JL30" s="368"/>
      <c r="JM30" s="369" t="s">
        <v>2006</v>
      </c>
      <c r="KB30" s="368"/>
      <c r="KC30" s="368"/>
      <c r="KD30" s="368"/>
      <c r="KE30" s="368"/>
      <c r="KF30" s="368"/>
      <c r="KG30" s="368"/>
      <c r="KH30" s="368"/>
      <c r="KI30" s="370" t="s">
        <v>2007</v>
      </c>
      <c r="KJ30" s="370"/>
      <c r="KK30" s="370"/>
      <c r="KL30" s="368" t="s">
        <v>2008</v>
      </c>
      <c r="KM30" s="368"/>
      <c r="KN30" s="371"/>
      <c r="KO30" s="367"/>
      <c r="KP30" s="368"/>
      <c r="KQ30" s="369" t="s">
        <v>2006</v>
      </c>
      <c r="LF30" s="368"/>
      <c r="LG30" s="368"/>
      <c r="LH30" s="368"/>
      <c r="LI30" s="368"/>
      <c r="LJ30" s="368"/>
      <c r="LK30" s="368"/>
      <c r="LL30" s="368"/>
      <c r="LM30" s="370" t="s">
        <v>2007</v>
      </c>
      <c r="LN30" s="370"/>
      <c r="LO30" s="370"/>
      <c r="LP30" s="368" t="s">
        <v>2008</v>
      </c>
      <c r="LQ30" s="368"/>
      <c r="LR30" s="371"/>
      <c r="LS30" s="367"/>
      <c r="LT30" s="368"/>
      <c r="LU30" s="369" t="s">
        <v>2006</v>
      </c>
      <c r="MJ30" s="368"/>
      <c r="MK30" s="368"/>
      <c r="ML30" s="368"/>
      <c r="MM30" s="368"/>
      <c r="MN30" s="368"/>
      <c r="MO30" s="368"/>
      <c r="MP30" s="368"/>
      <c r="MQ30" s="370" t="s">
        <v>2007</v>
      </c>
      <c r="MR30" s="370"/>
      <c r="MS30" s="370"/>
      <c r="MT30" s="368" t="s">
        <v>2008</v>
      </c>
      <c r="MU30" s="368"/>
      <c r="MV30" s="371"/>
      <c r="MW30" s="367"/>
      <c r="MX30" s="368"/>
      <c r="MY30" s="369" t="s">
        <v>2006</v>
      </c>
      <c r="NN30" s="368"/>
      <c r="NO30" s="368"/>
      <c r="NP30" s="368"/>
      <c r="NQ30" s="368"/>
      <c r="NR30" s="368"/>
      <c r="NS30" s="368"/>
      <c r="NT30" s="368"/>
      <c r="NU30" s="370" t="s">
        <v>2007</v>
      </c>
      <c r="NV30" s="370"/>
      <c r="NW30" s="370"/>
      <c r="NX30" s="368" t="s">
        <v>2008</v>
      </c>
      <c r="NY30" s="368"/>
      <c r="NZ30" s="371"/>
      <c r="OA30" s="367"/>
      <c r="OB30" s="368"/>
      <c r="OC30" s="369" t="s">
        <v>2006</v>
      </c>
      <c r="OR30" s="368"/>
      <c r="OS30" s="368"/>
      <c r="OT30" s="368"/>
      <c r="OU30" s="368"/>
      <c r="OV30" s="368"/>
      <c r="OW30" s="368"/>
      <c r="OX30" s="368"/>
      <c r="OY30" s="370" t="s">
        <v>2007</v>
      </c>
      <c r="OZ30" s="370"/>
      <c r="PA30" s="370"/>
      <c r="PB30" s="368" t="s">
        <v>2008</v>
      </c>
      <c r="PC30" s="368"/>
      <c r="PD30" s="371"/>
      <c r="PE30" s="367"/>
      <c r="PF30" s="368"/>
      <c r="PG30" s="369" t="s">
        <v>2006</v>
      </c>
      <c r="PV30" s="368"/>
      <c r="PW30" s="368"/>
      <c r="PX30" s="368"/>
      <c r="PY30" s="368"/>
      <c r="PZ30" s="368"/>
      <c r="QA30" s="368"/>
      <c r="QB30" s="368"/>
      <c r="QC30" s="370" t="s">
        <v>2007</v>
      </c>
      <c r="QD30" s="370"/>
      <c r="QE30" s="370"/>
      <c r="QF30" s="368" t="s">
        <v>2008</v>
      </c>
      <c r="QG30" s="368"/>
      <c r="QH30" s="371"/>
      <c r="QI30" s="367"/>
      <c r="QJ30" s="368"/>
      <c r="QK30" s="369" t="s">
        <v>2006</v>
      </c>
      <c r="QZ30" s="368"/>
      <c r="RA30" s="368"/>
      <c r="RB30" s="368"/>
      <c r="RC30" s="368"/>
      <c r="RD30" s="368"/>
      <c r="RE30" s="368"/>
      <c r="RF30" s="368"/>
      <c r="RG30" s="370" t="s">
        <v>2007</v>
      </c>
      <c r="RH30" s="370"/>
      <c r="RI30" s="370"/>
      <c r="RJ30" s="368" t="s">
        <v>2008</v>
      </c>
      <c r="RK30" s="368"/>
      <c r="RL30" s="371"/>
      <c r="RM30" s="367"/>
      <c r="RN30" s="368"/>
      <c r="RO30" s="369" t="s">
        <v>2006</v>
      </c>
      <c r="SD30" s="368"/>
      <c r="SE30" s="368"/>
      <c r="SF30" s="368"/>
      <c r="SG30" s="368"/>
      <c r="SH30" s="368"/>
      <c r="SI30" s="368"/>
      <c r="SJ30" s="368"/>
      <c r="SK30" s="370" t="s">
        <v>2007</v>
      </c>
      <c r="SL30" s="370"/>
      <c r="SM30" s="370"/>
      <c r="SN30" s="368" t="s">
        <v>2008</v>
      </c>
      <c r="SO30" s="368"/>
      <c r="SP30" s="371"/>
      <c r="SQ30" s="367"/>
      <c r="SR30" s="368"/>
      <c r="SS30" s="369" t="s">
        <v>2006</v>
      </c>
      <c r="TH30" s="368"/>
      <c r="TI30" s="368"/>
      <c r="TJ30" s="368"/>
      <c r="TK30" s="368"/>
      <c r="TL30" s="368"/>
      <c r="TM30" s="368"/>
      <c r="TN30" s="368"/>
      <c r="TO30" s="370" t="s">
        <v>2007</v>
      </c>
      <c r="TP30" s="370"/>
      <c r="TQ30" s="370"/>
      <c r="TR30" s="368" t="s">
        <v>2008</v>
      </c>
      <c r="TS30" s="368"/>
      <c r="TT30" s="371"/>
      <c r="TU30" s="367"/>
      <c r="TV30" s="368"/>
      <c r="TW30" s="369" t="s">
        <v>2006</v>
      </c>
      <c r="UL30" s="368"/>
      <c r="UM30" s="368"/>
      <c r="UN30" s="368"/>
      <c r="UO30" s="368"/>
      <c r="UP30" s="368"/>
      <c r="UQ30" s="368"/>
      <c r="UR30" s="368"/>
      <c r="US30" s="370" t="s">
        <v>2007</v>
      </c>
      <c r="UT30" s="370"/>
      <c r="UU30" s="370"/>
      <c r="UV30" s="368" t="s">
        <v>2008</v>
      </c>
      <c r="UW30" s="368"/>
      <c r="UX30" s="371"/>
      <c r="UY30" s="367"/>
      <c r="UZ30" s="368"/>
      <c r="VA30" s="369" t="s">
        <v>2006</v>
      </c>
      <c r="VP30" s="368"/>
      <c r="VQ30" s="368"/>
      <c r="VR30" s="368"/>
      <c r="VS30" s="368"/>
      <c r="VT30" s="368"/>
      <c r="VU30" s="368"/>
      <c r="VV30" s="368"/>
      <c r="VW30" s="370" t="s">
        <v>2007</v>
      </c>
      <c r="VX30" s="370"/>
      <c r="VY30" s="370"/>
      <c r="VZ30" s="368" t="s">
        <v>2008</v>
      </c>
      <c r="WA30" s="368"/>
      <c r="WB30" s="371"/>
      <c r="WC30" s="367"/>
      <c r="WD30" s="368"/>
      <c r="WE30" s="369" t="s">
        <v>2006</v>
      </c>
      <c r="WT30" s="368"/>
      <c r="WU30" s="368"/>
      <c r="WV30" s="368"/>
      <c r="WW30" s="368"/>
      <c r="WX30" s="368"/>
      <c r="WY30" s="368"/>
      <c r="WZ30" s="368"/>
      <c r="XA30" s="370" t="s">
        <v>2007</v>
      </c>
      <c r="XB30" s="370"/>
      <c r="XC30" s="370"/>
      <c r="XD30" s="368" t="s">
        <v>2008</v>
      </c>
      <c r="XE30" s="368"/>
      <c r="XF30" s="371"/>
      <c r="XG30" s="367"/>
      <c r="XH30" s="368"/>
      <c r="XI30" s="369" t="s">
        <v>2006</v>
      </c>
      <c r="XX30" s="368"/>
      <c r="XY30" s="368"/>
      <c r="XZ30" s="368"/>
      <c r="YA30" s="368"/>
      <c r="YB30" s="368"/>
      <c r="YC30" s="368"/>
      <c r="YD30" s="368"/>
      <c r="YE30" s="370" t="s">
        <v>2007</v>
      </c>
      <c r="YF30" s="370"/>
      <c r="YG30" s="370"/>
      <c r="YH30" s="368" t="s">
        <v>2008</v>
      </c>
      <c r="YI30" s="368"/>
      <c r="YJ30" s="371"/>
      <c r="YK30" s="367"/>
      <c r="YL30" s="368"/>
      <c r="YM30" s="369" t="s">
        <v>2006</v>
      </c>
      <c r="ZB30" s="368"/>
      <c r="ZC30" s="368"/>
      <c r="ZD30" s="368"/>
      <c r="ZE30" s="368"/>
      <c r="ZF30" s="368"/>
      <c r="ZG30" s="368"/>
      <c r="ZH30" s="368"/>
      <c r="ZI30" s="370" t="s">
        <v>2007</v>
      </c>
      <c r="ZJ30" s="370"/>
      <c r="ZK30" s="370"/>
      <c r="ZL30" s="368" t="s">
        <v>2008</v>
      </c>
      <c r="ZM30" s="368"/>
      <c r="ZN30" s="371"/>
      <c r="ZO30" s="367"/>
      <c r="ZP30" s="368"/>
      <c r="ZQ30" s="369" t="s">
        <v>2006</v>
      </c>
      <c r="AAF30" s="368"/>
      <c r="AAG30" s="368"/>
      <c r="AAH30" s="368"/>
      <c r="AAI30" s="368"/>
      <c r="AAJ30" s="368"/>
      <c r="AAK30" s="368"/>
      <c r="AAL30" s="368"/>
      <c r="AAM30" s="370" t="s">
        <v>2007</v>
      </c>
      <c r="AAN30" s="370"/>
      <c r="AAO30" s="370"/>
      <c r="AAP30" s="368" t="s">
        <v>2008</v>
      </c>
      <c r="AAQ30" s="368"/>
      <c r="AAR30" s="371"/>
      <c r="AAS30" s="367"/>
      <c r="AAT30" s="368"/>
      <c r="AAU30" s="369" t="s">
        <v>2006</v>
      </c>
      <c r="ABJ30" s="368"/>
      <c r="ABK30" s="368"/>
      <c r="ABL30" s="368"/>
      <c r="ABM30" s="368"/>
      <c r="ABN30" s="368"/>
      <c r="ABO30" s="368"/>
      <c r="ABP30" s="368"/>
      <c r="ABQ30" s="370" t="s">
        <v>2007</v>
      </c>
      <c r="ABR30" s="370"/>
      <c r="ABS30" s="370"/>
      <c r="ABT30" s="368" t="s">
        <v>2008</v>
      </c>
      <c r="ABU30" s="368"/>
      <c r="ABV30" s="371"/>
      <c r="ABW30" s="367"/>
      <c r="ABX30" s="368"/>
      <c r="ABY30" s="369" t="s">
        <v>2006</v>
      </c>
      <c r="ACN30" s="368"/>
      <c r="ACO30" s="368"/>
      <c r="ACP30" s="368"/>
      <c r="ACQ30" s="368"/>
      <c r="ACR30" s="368"/>
      <c r="ACS30" s="368"/>
      <c r="ACT30" s="368"/>
      <c r="ACU30" s="370" t="s">
        <v>2007</v>
      </c>
      <c r="ACV30" s="370"/>
      <c r="ACW30" s="370"/>
      <c r="ACX30" s="368" t="s">
        <v>2008</v>
      </c>
      <c r="ACY30" s="368"/>
      <c r="ACZ30" s="371"/>
      <c r="ADA30" s="367"/>
      <c r="ADB30" s="368"/>
      <c r="ADC30" s="369" t="s">
        <v>2006</v>
      </c>
      <c r="ADR30" s="368"/>
      <c r="ADS30" s="368"/>
      <c r="ADT30" s="368"/>
      <c r="ADU30" s="368"/>
      <c r="ADV30" s="368"/>
      <c r="ADW30" s="368"/>
      <c r="ADX30" s="368"/>
      <c r="ADY30" s="370" t="s">
        <v>2007</v>
      </c>
      <c r="ADZ30" s="370"/>
      <c r="AEA30" s="370"/>
      <c r="AEB30" s="368" t="s">
        <v>2008</v>
      </c>
      <c r="AEC30" s="368"/>
      <c r="AED30" s="371"/>
      <c r="AEE30" s="367"/>
      <c r="AEF30" s="368"/>
      <c r="AEG30" s="369" t="s">
        <v>2006</v>
      </c>
      <c r="AEV30" s="368"/>
      <c r="AEW30" s="368"/>
      <c r="AEX30" s="368"/>
      <c r="AEY30" s="368"/>
      <c r="AEZ30" s="368"/>
      <c r="AFA30" s="368"/>
      <c r="AFB30" s="368"/>
      <c r="AFC30" s="370" t="s">
        <v>2007</v>
      </c>
      <c r="AFD30" s="370"/>
      <c r="AFE30" s="370"/>
      <c r="AFF30" s="368" t="s">
        <v>2008</v>
      </c>
      <c r="AFG30" s="368"/>
      <c r="AFH30" s="371"/>
      <c r="AFI30" s="367"/>
      <c r="AFJ30" s="368"/>
      <c r="AFK30" s="369" t="s">
        <v>2006</v>
      </c>
      <c r="AFZ30" s="368"/>
      <c r="AGA30" s="368"/>
      <c r="AGB30" s="368"/>
      <c r="AGC30" s="368"/>
      <c r="AGD30" s="368"/>
      <c r="AGE30" s="368"/>
      <c r="AGF30" s="368"/>
      <c r="AGG30" s="370" t="s">
        <v>2007</v>
      </c>
      <c r="AGH30" s="370"/>
      <c r="AGI30" s="370"/>
      <c r="AGJ30" s="368" t="s">
        <v>2008</v>
      </c>
      <c r="AGK30" s="368"/>
      <c r="AGL30" s="371"/>
      <c r="AGM30" s="367"/>
      <c r="AGN30" s="368"/>
      <c r="AGO30" s="369" t="s">
        <v>2006</v>
      </c>
      <c r="AHD30" s="368"/>
      <c r="AHE30" s="368"/>
      <c r="AHF30" s="368"/>
      <c r="AHG30" s="368"/>
      <c r="AHH30" s="368"/>
      <c r="AHI30" s="368"/>
      <c r="AHJ30" s="368"/>
      <c r="AHK30" s="370" t="s">
        <v>2007</v>
      </c>
      <c r="AHL30" s="370"/>
      <c r="AHM30" s="370"/>
      <c r="AHN30" s="368" t="s">
        <v>2008</v>
      </c>
      <c r="AHO30" s="368"/>
      <c r="AHP30" s="371"/>
      <c r="AHQ30" s="367"/>
      <c r="AHR30" s="368"/>
      <c r="AHS30" s="369" t="s">
        <v>2006</v>
      </c>
      <c r="AIH30" s="368"/>
      <c r="AII30" s="368"/>
      <c r="AIJ30" s="368"/>
      <c r="AIK30" s="368"/>
      <c r="AIL30" s="368"/>
      <c r="AIM30" s="368"/>
      <c r="AIN30" s="368"/>
      <c r="AIO30" s="370" t="s">
        <v>2007</v>
      </c>
      <c r="AIP30" s="370"/>
      <c r="AIQ30" s="370"/>
      <c r="AIR30" s="368" t="s">
        <v>2008</v>
      </c>
      <c r="AIS30" s="368"/>
      <c r="AIT30" s="371"/>
      <c r="AIU30" s="367"/>
      <c r="AIV30" s="368"/>
      <c r="AIW30" s="369" t="s">
        <v>2006</v>
      </c>
      <c r="AJL30" s="368"/>
      <c r="AJM30" s="368"/>
      <c r="AJN30" s="368"/>
      <c r="AJO30" s="368"/>
      <c r="AJP30" s="368"/>
      <c r="AJQ30" s="368"/>
      <c r="AJR30" s="368"/>
      <c r="AJS30" s="370" t="s">
        <v>2007</v>
      </c>
      <c r="AJT30" s="370"/>
      <c r="AJU30" s="370"/>
      <c r="AJV30" s="368" t="s">
        <v>2008</v>
      </c>
      <c r="AJW30" s="368"/>
      <c r="AJX30" s="371"/>
      <c r="AJY30" s="367"/>
      <c r="AJZ30" s="368"/>
      <c r="AKA30" s="369" t="s">
        <v>2006</v>
      </c>
      <c r="AKP30" s="368"/>
      <c r="AKQ30" s="368"/>
      <c r="AKR30" s="368"/>
      <c r="AKS30" s="368"/>
      <c r="AKT30" s="368"/>
      <c r="AKU30" s="368"/>
      <c r="AKV30" s="368"/>
      <c r="AKW30" s="370" t="s">
        <v>2007</v>
      </c>
      <c r="AKX30" s="370"/>
      <c r="AKY30" s="370"/>
      <c r="AKZ30" s="368" t="s">
        <v>2008</v>
      </c>
      <c r="ALA30" s="368"/>
      <c r="ALB30" s="371"/>
      <c r="ALC30" s="367"/>
      <c r="ALD30" s="368"/>
      <c r="ALE30" s="369" t="s">
        <v>2006</v>
      </c>
      <c r="ALT30" s="368"/>
      <c r="ALU30" s="368"/>
      <c r="ALV30" s="368"/>
      <c r="ALW30" s="368"/>
      <c r="ALX30" s="368"/>
      <c r="ALY30" s="368"/>
      <c r="ALZ30" s="368"/>
      <c r="AMA30" s="370" t="s">
        <v>2007</v>
      </c>
      <c r="AMB30" s="370"/>
      <c r="AMC30" s="370"/>
      <c r="AMD30" s="368" t="s">
        <v>2008</v>
      </c>
      <c r="AME30" s="368"/>
      <c r="AMF30" s="371"/>
      <c r="AMG30" s="367"/>
      <c r="AMH30" s="368"/>
      <c r="AMI30" s="369" t="s">
        <v>2006</v>
      </c>
    </row>
    <row r="31" spans="1:1024" ht="15" x14ac:dyDescent="0.2">
      <c r="A31" s="372" t="s">
        <v>2009</v>
      </c>
      <c r="B31" s="372"/>
      <c r="C31" s="372"/>
      <c r="D31" s="372"/>
      <c r="E31" s="372"/>
      <c r="F31" s="372"/>
      <c r="G31" s="372"/>
      <c r="N31" s="373" t="s">
        <v>2010</v>
      </c>
      <c r="O31" s="373"/>
      <c r="P31" s="373"/>
      <c r="Q31" s="373"/>
      <c r="R31" s="373"/>
      <c r="S31" s="373"/>
      <c r="T31" s="373"/>
      <c r="U31" s="373"/>
      <c r="AC31" s="374" t="s">
        <v>2011</v>
      </c>
      <c r="AD31" s="374"/>
      <c r="AE31" s="372" t="s">
        <v>2009</v>
      </c>
      <c r="AF31" s="372"/>
      <c r="AG31" s="372"/>
      <c r="AH31" s="372"/>
      <c r="AI31" s="372"/>
      <c r="AJ31" s="372"/>
      <c r="AK31" s="372"/>
      <c r="AR31" s="373" t="s">
        <v>2010</v>
      </c>
      <c r="AS31" s="373"/>
      <c r="AT31" s="373"/>
      <c r="AU31" s="373"/>
      <c r="AV31" s="373"/>
      <c r="AW31" s="373"/>
      <c r="AX31" s="373"/>
      <c r="AY31" s="373"/>
      <c r="BG31" s="374" t="s">
        <v>2011</v>
      </c>
      <c r="BH31" s="374"/>
      <c r="BI31" s="372" t="s">
        <v>2009</v>
      </c>
      <c r="BJ31" s="372"/>
      <c r="BK31" s="372"/>
      <c r="BL31" s="372"/>
      <c r="BM31" s="372"/>
      <c r="BN31" s="372"/>
      <c r="BO31" s="372"/>
      <c r="BV31" s="373" t="s">
        <v>2010</v>
      </c>
      <c r="BW31" s="373"/>
      <c r="BX31" s="373"/>
      <c r="BY31" s="373"/>
      <c r="BZ31" s="373"/>
      <c r="CA31" s="373"/>
      <c r="CB31" s="373"/>
      <c r="CC31" s="373"/>
      <c r="CK31" s="374" t="s">
        <v>2011</v>
      </c>
      <c r="CL31" s="374"/>
      <c r="CM31" s="372" t="s">
        <v>2009</v>
      </c>
      <c r="CN31" s="372"/>
      <c r="CO31" s="372"/>
      <c r="CP31" s="372"/>
      <c r="CQ31" s="372"/>
      <c r="CR31" s="372"/>
      <c r="CS31" s="372"/>
      <c r="CZ31" s="373" t="s">
        <v>2010</v>
      </c>
      <c r="DA31" s="373"/>
      <c r="DB31" s="373"/>
      <c r="DC31" s="373"/>
      <c r="DD31" s="373"/>
      <c r="DE31" s="373"/>
      <c r="DF31" s="373"/>
      <c r="DG31" s="373"/>
      <c r="DO31" s="374" t="s">
        <v>2011</v>
      </c>
      <c r="DP31" s="374"/>
      <c r="DQ31" s="372" t="s">
        <v>2009</v>
      </c>
      <c r="DR31" s="372"/>
      <c r="DS31" s="372"/>
      <c r="DT31" s="372"/>
      <c r="DU31" s="372"/>
      <c r="DV31" s="372"/>
      <c r="DW31" s="372"/>
      <c r="ED31" s="373" t="s">
        <v>2010</v>
      </c>
      <c r="EE31" s="373"/>
      <c r="EF31" s="373"/>
      <c r="EG31" s="373"/>
      <c r="EH31" s="373"/>
      <c r="EI31" s="373"/>
      <c r="EJ31" s="373"/>
      <c r="EK31" s="373"/>
      <c r="ES31" s="374" t="s">
        <v>2011</v>
      </c>
      <c r="ET31" s="374"/>
      <c r="EU31" s="372" t="s">
        <v>2009</v>
      </c>
      <c r="EV31" s="372"/>
      <c r="EW31" s="372"/>
      <c r="EX31" s="372"/>
      <c r="EY31" s="372"/>
      <c r="EZ31" s="372"/>
      <c r="FA31" s="372"/>
      <c r="FH31" s="373" t="s">
        <v>2010</v>
      </c>
      <c r="FI31" s="373"/>
      <c r="FJ31" s="373"/>
      <c r="FK31" s="373"/>
      <c r="FL31" s="373"/>
      <c r="FM31" s="373"/>
      <c r="FN31" s="373"/>
      <c r="FO31" s="373"/>
      <c r="FW31" s="374" t="s">
        <v>2011</v>
      </c>
      <c r="FX31" s="374"/>
      <c r="FY31" s="372" t="s">
        <v>2009</v>
      </c>
      <c r="FZ31" s="372"/>
      <c r="GA31" s="372"/>
      <c r="GB31" s="372"/>
      <c r="GC31" s="372"/>
      <c r="GD31" s="372"/>
      <c r="GE31" s="372"/>
      <c r="GL31" s="373" t="s">
        <v>2010</v>
      </c>
      <c r="GM31" s="373"/>
      <c r="GN31" s="373"/>
      <c r="GO31" s="373"/>
      <c r="GP31" s="373"/>
      <c r="GQ31" s="373"/>
      <c r="GR31" s="373"/>
      <c r="GS31" s="373"/>
      <c r="HA31" s="374" t="s">
        <v>2011</v>
      </c>
      <c r="HB31" s="374"/>
      <c r="HC31" s="372" t="s">
        <v>2009</v>
      </c>
      <c r="HD31" s="372"/>
      <c r="HE31" s="372"/>
      <c r="HF31" s="372"/>
      <c r="HG31" s="372"/>
      <c r="HH31" s="372"/>
      <c r="HI31" s="372"/>
      <c r="HP31" s="373" t="s">
        <v>2010</v>
      </c>
      <c r="HQ31" s="373"/>
      <c r="HR31" s="373"/>
      <c r="HS31" s="373"/>
      <c r="HT31" s="373"/>
      <c r="HU31" s="373"/>
      <c r="HV31" s="373"/>
      <c r="HW31" s="373"/>
      <c r="IE31" s="374" t="s">
        <v>2011</v>
      </c>
      <c r="IF31" s="374"/>
      <c r="IG31" s="372" t="s">
        <v>2009</v>
      </c>
      <c r="IH31" s="372"/>
      <c r="II31" s="372"/>
      <c r="IJ31" s="372"/>
      <c r="IK31" s="372"/>
      <c r="IL31" s="372"/>
      <c r="IM31" s="372"/>
      <c r="IT31" s="373" t="s">
        <v>2010</v>
      </c>
      <c r="IU31" s="373"/>
      <c r="IV31" s="373"/>
      <c r="IW31" s="373"/>
      <c r="IX31" s="373"/>
      <c r="IY31" s="373"/>
      <c r="IZ31" s="373"/>
      <c r="JA31" s="373"/>
      <c r="JI31" s="374" t="s">
        <v>2011</v>
      </c>
      <c r="JJ31" s="374"/>
      <c r="JK31" s="372" t="s">
        <v>2009</v>
      </c>
      <c r="JL31" s="372"/>
      <c r="JM31" s="372"/>
      <c r="JN31" s="372"/>
      <c r="JO31" s="372"/>
      <c r="JP31" s="372"/>
      <c r="JQ31" s="372"/>
      <c r="JX31" s="373" t="s">
        <v>2010</v>
      </c>
      <c r="JY31" s="373"/>
      <c r="JZ31" s="373"/>
      <c r="KA31" s="373"/>
      <c r="KB31" s="373"/>
      <c r="KC31" s="373"/>
      <c r="KD31" s="373"/>
      <c r="KE31" s="373"/>
      <c r="KM31" s="374" t="s">
        <v>2011</v>
      </c>
      <c r="KN31" s="374"/>
      <c r="KO31" s="372" t="s">
        <v>2009</v>
      </c>
      <c r="KP31" s="372"/>
      <c r="KQ31" s="372"/>
      <c r="KR31" s="372"/>
      <c r="KS31" s="372"/>
      <c r="KT31" s="372"/>
      <c r="KU31" s="372"/>
      <c r="LB31" s="373" t="s">
        <v>2010</v>
      </c>
      <c r="LC31" s="373"/>
      <c r="LD31" s="373"/>
      <c r="LE31" s="373"/>
      <c r="LF31" s="373"/>
      <c r="LG31" s="373"/>
      <c r="LH31" s="373"/>
      <c r="LI31" s="373"/>
      <c r="LQ31" s="374" t="s">
        <v>2011</v>
      </c>
      <c r="LR31" s="374"/>
      <c r="LS31" s="372" t="s">
        <v>2009</v>
      </c>
      <c r="LT31" s="372"/>
      <c r="LU31" s="372"/>
      <c r="LV31" s="372"/>
      <c r="LW31" s="372"/>
      <c r="LX31" s="372"/>
      <c r="LY31" s="372"/>
      <c r="MF31" s="373" t="s">
        <v>2010</v>
      </c>
      <c r="MG31" s="373"/>
      <c r="MH31" s="373"/>
      <c r="MI31" s="373"/>
      <c r="MJ31" s="373"/>
      <c r="MK31" s="373"/>
      <c r="ML31" s="373"/>
      <c r="MM31" s="373"/>
      <c r="MU31" s="374" t="s">
        <v>2011</v>
      </c>
      <c r="MV31" s="374"/>
      <c r="MW31" s="372" t="s">
        <v>2009</v>
      </c>
      <c r="MX31" s="372"/>
      <c r="MY31" s="372"/>
      <c r="MZ31" s="372"/>
      <c r="NA31" s="372"/>
      <c r="NB31" s="372"/>
      <c r="NC31" s="372"/>
      <c r="NJ31" s="373" t="s">
        <v>2010</v>
      </c>
      <c r="NK31" s="373"/>
      <c r="NL31" s="373"/>
      <c r="NM31" s="373"/>
      <c r="NN31" s="373"/>
      <c r="NO31" s="373"/>
      <c r="NP31" s="373"/>
      <c r="NQ31" s="373"/>
      <c r="NY31" s="374" t="s">
        <v>2011</v>
      </c>
      <c r="NZ31" s="374"/>
      <c r="OA31" s="372" t="s">
        <v>2009</v>
      </c>
      <c r="OB31" s="372"/>
      <c r="OC31" s="372"/>
      <c r="OD31" s="372"/>
      <c r="OE31" s="372"/>
      <c r="OF31" s="372"/>
      <c r="OG31" s="372"/>
      <c r="ON31" s="373" t="s">
        <v>2010</v>
      </c>
      <c r="OO31" s="373"/>
      <c r="OP31" s="373"/>
      <c r="OQ31" s="373"/>
      <c r="OR31" s="373"/>
      <c r="OS31" s="373"/>
      <c r="OT31" s="373"/>
      <c r="OU31" s="373"/>
      <c r="PC31" s="374" t="s">
        <v>2011</v>
      </c>
      <c r="PD31" s="374"/>
      <c r="PE31" s="372" t="s">
        <v>2009</v>
      </c>
      <c r="PF31" s="372"/>
      <c r="PG31" s="372"/>
      <c r="PH31" s="372"/>
      <c r="PI31" s="372"/>
      <c r="PJ31" s="372"/>
      <c r="PK31" s="372"/>
      <c r="PR31" s="373" t="s">
        <v>2010</v>
      </c>
      <c r="PS31" s="373"/>
      <c r="PT31" s="373"/>
      <c r="PU31" s="373"/>
      <c r="PV31" s="373"/>
      <c r="PW31" s="373"/>
      <c r="PX31" s="373"/>
      <c r="PY31" s="373"/>
      <c r="QG31" s="374" t="s">
        <v>2011</v>
      </c>
      <c r="QH31" s="374"/>
      <c r="QI31" s="372" t="s">
        <v>2009</v>
      </c>
      <c r="QJ31" s="372"/>
      <c r="QK31" s="372"/>
      <c r="QL31" s="372"/>
      <c r="QM31" s="372"/>
      <c r="QN31" s="372"/>
      <c r="QO31" s="372"/>
      <c r="QV31" s="373" t="s">
        <v>2010</v>
      </c>
      <c r="QW31" s="373"/>
      <c r="QX31" s="373"/>
      <c r="QY31" s="373"/>
      <c r="QZ31" s="373"/>
      <c r="RA31" s="373"/>
      <c r="RB31" s="373"/>
      <c r="RC31" s="373"/>
      <c r="RK31" s="374" t="s">
        <v>2011</v>
      </c>
      <c r="RL31" s="374"/>
      <c r="RM31" s="372" t="s">
        <v>2009</v>
      </c>
      <c r="RN31" s="372"/>
      <c r="RO31" s="372"/>
      <c r="RP31" s="372"/>
      <c r="RQ31" s="372"/>
      <c r="RR31" s="372"/>
      <c r="RS31" s="372"/>
      <c r="RZ31" s="373" t="s">
        <v>2010</v>
      </c>
      <c r="SA31" s="373"/>
      <c r="SB31" s="373"/>
      <c r="SC31" s="373"/>
      <c r="SD31" s="373"/>
      <c r="SE31" s="373"/>
      <c r="SF31" s="373"/>
      <c r="SG31" s="373"/>
      <c r="SO31" s="374" t="s">
        <v>2011</v>
      </c>
      <c r="SP31" s="374"/>
      <c r="SQ31" s="372" t="s">
        <v>2009</v>
      </c>
      <c r="SR31" s="372"/>
      <c r="SS31" s="372"/>
      <c r="ST31" s="372"/>
      <c r="SU31" s="372"/>
      <c r="SV31" s="372"/>
      <c r="SW31" s="372"/>
      <c r="TD31" s="373" t="s">
        <v>2010</v>
      </c>
      <c r="TE31" s="373"/>
      <c r="TF31" s="373"/>
      <c r="TG31" s="373"/>
      <c r="TH31" s="373"/>
      <c r="TI31" s="373"/>
      <c r="TJ31" s="373"/>
      <c r="TK31" s="373"/>
      <c r="TS31" s="374" t="s">
        <v>2011</v>
      </c>
      <c r="TT31" s="374"/>
      <c r="TU31" s="372" t="s">
        <v>2009</v>
      </c>
      <c r="TV31" s="372"/>
      <c r="TW31" s="372"/>
      <c r="TX31" s="372"/>
      <c r="TY31" s="372"/>
      <c r="TZ31" s="372"/>
      <c r="UA31" s="372"/>
      <c r="UH31" s="373" t="s">
        <v>2010</v>
      </c>
      <c r="UI31" s="373"/>
      <c r="UJ31" s="373"/>
      <c r="UK31" s="373"/>
      <c r="UL31" s="373"/>
      <c r="UM31" s="373"/>
      <c r="UN31" s="373"/>
      <c r="UO31" s="373"/>
      <c r="UW31" s="374" t="s">
        <v>2011</v>
      </c>
      <c r="UX31" s="374"/>
      <c r="UY31" s="372" t="s">
        <v>2009</v>
      </c>
      <c r="UZ31" s="372"/>
      <c r="VA31" s="372"/>
      <c r="VB31" s="372"/>
      <c r="VC31" s="372"/>
      <c r="VD31" s="372"/>
      <c r="VE31" s="372"/>
      <c r="VL31" s="373" t="s">
        <v>2010</v>
      </c>
      <c r="VM31" s="373"/>
      <c r="VN31" s="373"/>
      <c r="VO31" s="373"/>
      <c r="VP31" s="373"/>
      <c r="VQ31" s="373"/>
      <c r="VR31" s="373"/>
      <c r="VS31" s="373"/>
      <c r="WA31" s="374" t="s">
        <v>2011</v>
      </c>
      <c r="WB31" s="374"/>
      <c r="WC31" s="372" t="s">
        <v>2009</v>
      </c>
      <c r="WD31" s="372"/>
      <c r="WE31" s="372"/>
      <c r="WF31" s="372"/>
      <c r="WG31" s="372"/>
      <c r="WH31" s="372"/>
      <c r="WI31" s="372"/>
      <c r="WP31" s="373" t="s">
        <v>2010</v>
      </c>
      <c r="WQ31" s="373"/>
      <c r="WR31" s="373"/>
      <c r="WS31" s="373"/>
      <c r="WT31" s="373"/>
      <c r="WU31" s="373"/>
      <c r="WV31" s="373"/>
      <c r="WW31" s="373"/>
      <c r="XE31" s="374" t="s">
        <v>2011</v>
      </c>
      <c r="XF31" s="374"/>
      <c r="XG31" s="372" t="s">
        <v>2009</v>
      </c>
      <c r="XH31" s="372"/>
      <c r="XI31" s="372"/>
      <c r="XJ31" s="372"/>
      <c r="XK31" s="372"/>
      <c r="XL31" s="372"/>
      <c r="XM31" s="372"/>
      <c r="XT31" s="373" t="s">
        <v>2010</v>
      </c>
      <c r="XU31" s="373"/>
      <c r="XV31" s="373"/>
      <c r="XW31" s="373"/>
      <c r="XX31" s="373"/>
      <c r="XY31" s="373"/>
      <c r="XZ31" s="373"/>
      <c r="YA31" s="373"/>
      <c r="YI31" s="374" t="s">
        <v>2011</v>
      </c>
      <c r="YJ31" s="374"/>
      <c r="YK31" s="372" t="s">
        <v>2009</v>
      </c>
      <c r="YL31" s="372"/>
      <c r="YM31" s="372"/>
      <c r="YN31" s="372"/>
      <c r="YO31" s="372"/>
      <c r="YP31" s="372"/>
      <c r="YQ31" s="372"/>
      <c r="YX31" s="373" t="s">
        <v>2010</v>
      </c>
      <c r="YY31" s="373"/>
      <c r="YZ31" s="373"/>
      <c r="ZA31" s="373"/>
      <c r="ZB31" s="373"/>
      <c r="ZC31" s="373"/>
      <c r="ZD31" s="373"/>
      <c r="ZE31" s="373"/>
      <c r="ZM31" s="374" t="s">
        <v>2011</v>
      </c>
      <c r="ZN31" s="374"/>
      <c r="ZO31" s="372" t="s">
        <v>2009</v>
      </c>
      <c r="ZP31" s="372"/>
      <c r="ZQ31" s="372"/>
      <c r="ZR31" s="372"/>
      <c r="ZS31" s="372"/>
      <c r="ZT31" s="372"/>
      <c r="ZU31" s="372"/>
      <c r="AAB31" s="373" t="s">
        <v>2010</v>
      </c>
      <c r="AAC31" s="373"/>
      <c r="AAD31" s="373"/>
      <c r="AAE31" s="373"/>
      <c r="AAF31" s="373"/>
      <c r="AAG31" s="373"/>
      <c r="AAH31" s="373"/>
      <c r="AAI31" s="373"/>
      <c r="AAQ31" s="374" t="s">
        <v>2011</v>
      </c>
      <c r="AAR31" s="374"/>
      <c r="AAS31" s="372" t="s">
        <v>2009</v>
      </c>
      <c r="AAT31" s="372"/>
      <c r="AAU31" s="372"/>
      <c r="AAV31" s="372"/>
      <c r="AAW31" s="372"/>
      <c r="AAX31" s="372"/>
      <c r="AAY31" s="372"/>
      <c r="ABF31" s="373" t="s">
        <v>2010</v>
      </c>
      <c r="ABG31" s="373"/>
      <c r="ABH31" s="373"/>
      <c r="ABI31" s="373"/>
      <c r="ABJ31" s="373"/>
      <c r="ABK31" s="373"/>
      <c r="ABL31" s="373"/>
      <c r="ABM31" s="373"/>
      <c r="ABU31" s="374" t="s">
        <v>2011</v>
      </c>
      <c r="ABV31" s="374"/>
      <c r="ABW31" s="372" t="s">
        <v>2009</v>
      </c>
      <c r="ABX31" s="372"/>
      <c r="ABY31" s="372"/>
      <c r="ABZ31" s="372"/>
      <c r="ACA31" s="372"/>
      <c r="ACB31" s="372"/>
      <c r="ACC31" s="372"/>
      <c r="ACJ31" s="373" t="s">
        <v>2010</v>
      </c>
      <c r="ACK31" s="373"/>
      <c r="ACL31" s="373"/>
      <c r="ACM31" s="373"/>
      <c r="ACN31" s="373"/>
      <c r="ACO31" s="373"/>
      <c r="ACP31" s="373"/>
      <c r="ACQ31" s="373"/>
      <c r="ACY31" s="374" t="s">
        <v>2011</v>
      </c>
      <c r="ACZ31" s="374"/>
      <c r="ADA31" s="372" t="s">
        <v>2009</v>
      </c>
      <c r="ADB31" s="372"/>
      <c r="ADC31" s="372"/>
      <c r="ADD31" s="372"/>
      <c r="ADE31" s="372"/>
      <c r="ADF31" s="372"/>
      <c r="ADG31" s="372"/>
      <c r="ADN31" s="373" t="s">
        <v>2010</v>
      </c>
      <c r="ADO31" s="373"/>
      <c r="ADP31" s="373"/>
      <c r="ADQ31" s="373"/>
      <c r="ADR31" s="373"/>
      <c r="ADS31" s="373"/>
      <c r="ADT31" s="373"/>
      <c r="ADU31" s="373"/>
      <c r="AEC31" s="374" t="s">
        <v>2011</v>
      </c>
      <c r="AED31" s="374"/>
      <c r="AEE31" s="372" t="s">
        <v>2009</v>
      </c>
      <c r="AEF31" s="372"/>
      <c r="AEG31" s="372"/>
      <c r="AEH31" s="372"/>
      <c r="AEI31" s="372"/>
      <c r="AEJ31" s="372"/>
      <c r="AEK31" s="372"/>
      <c r="AER31" s="373" t="s">
        <v>2010</v>
      </c>
      <c r="AES31" s="373"/>
      <c r="AET31" s="373"/>
      <c r="AEU31" s="373"/>
      <c r="AEV31" s="373"/>
      <c r="AEW31" s="373"/>
      <c r="AEX31" s="373"/>
      <c r="AEY31" s="373"/>
      <c r="AFG31" s="374" t="s">
        <v>2011</v>
      </c>
      <c r="AFH31" s="374"/>
      <c r="AFI31" s="372" t="s">
        <v>2009</v>
      </c>
      <c r="AFJ31" s="372"/>
      <c r="AFK31" s="372"/>
      <c r="AFL31" s="372"/>
      <c r="AFM31" s="372"/>
      <c r="AFN31" s="372"/>
      <c r="AFO31" s="372"/>
      <c r="AFV31" s="373" t="s">
        <v>2010</v>
      </c>
      <c r="AFW31" s="373"/>
      <c r="AFX31" s="373"/>
      <c r="AFY31" s="373"/>
      <c r="AFZ31" s="373"/>
      <c r="AGA31" s="373"/>
      <c r="AGB31" s="373"/>
      <c r="AGC31" s="373"/>
      <c r="AGK31" s="374" t="s">
        <v>2011</v>
      </c>
      <c r="AGL31" s="374"/>
      <c r="AGM31" s="372" t="s">
        <v>2009</v>
      </c>
      <c r="AGN31" s="372"/>
      <c r="AGO31" s="372"/>
      <c r="AGP31" s="372"/>
      <c r="AGQ31" s="372"/>
      <c r="AGR31" s="372"/>
      <c r="AGS31" s="372"/>
      <c r="AGZ31" s="373" t="s">
        <v>2010</v>
      </c>
      <c r="AHA31" s="373"/>
      <c r="AHB31" s="373"/>
      <c r="AHC31" s="373"/>
      <c r="AHD31" s="373"/>
      <c r="AHE31" s="373"/>
      <c r="AHF31" s="373"/>
      <c r="AHG31" s="373"/>
      <c r="AHO31" s="374" t="s">
        <v>2011</v>
      </c>
      <c r="AHP31" s="374"/>
      <c r="AHQ31" s="372" t="s">
        <v>2009</v>
      </c>
      <c r="AHR31" s="372"/>
      <c r="AHS31" s="372"/>
      <c r="AHT31" s="372"/>
      <c r="AHU31" s="372"/>
      <c r="AHV31" s="372"/>
      <c r="AHW31" s="372"/>
      <c r="AID31" s="373" t="s">
        <v>2010</v>
      </c>
      <c r="AIE31" s="373"/>
      <c r="AIF31" s="373"/>
      <c r="AIG31" s="373"/>
      <c r="AIH31" s="373"/>
      <c r="AII31" s="373"/>
      <c r="AIJ31" s="373"/>
      <c r="AIK31" s="373"/>
      <c r="AIS31" s="374" t="s">
        <v>2011</v>
      </c>
      <c r="AIT31" s="374"/>
      <c r="AIU31" s="372" t="s">
        <v>2009</v>
      </c>
      <c r="AIV31" s="372"/>
      <c r="AIW31" s="372"/>
      <c r="AIX31" s="372"/>
      <c r="AIY31" s="372"/>
      <c r="AIZ31" s="372"/>
      <c r="AJA31" s="372"/>
      <c r="AJH31" s="373" t="s">
        <v>2010</v>
      </c>
      <c r="AJI31" s="373"/>
      <c r="AJJ31" s="373"/>
      <c r="AJK31" s="373"/>
      <c r="AJL31" s="373"/>
      <c r="AJM31" s="373"/>
      <c r="AJN31" s="373"/>
      <c r="AJO31" s="373"/>
      <c r="AJW31" s="374" t="s">
        <v>2011</v>
      </c>
      <c r="AJX31" s="374"/>
      <c r="AJY31" s="372" t="s">
        <v>2009</v>
      </c>
      <c r="AJZ31" s="372"/>
      <c r="AKA31" s="372"/>
      <c r="AKB31" s="372"/>
      <c r="AKC31" s="372"/>
      <c r="AKD31" s="372"/>
      <c r="AKE31" s="372"/>
      <c r="AKL31" s="373" t="s">
        <v>2010</v>
      </c>
      <c r="AKM31" s="373"/>
      <c r="AKN31" s="373"/>
      <c r="AKO31" s="373"/>
      <c r="AKP31" s="373"/>
      <c r="AKQ31" s="373"/>
      <c r="AKR31" s="373"/>
      <c r="AKS31" s="373"/>
      <c r="ALA31" s="374" t="s">
        <v>2011</v>
      </c>
      <c r="ALB31" s="374"/>
      <c r="ALC31" s="372" t="s">
        <v>2009</v>
      </c>
      <c r="ALD31" s="372"/>
      <c r="ALE31" s="372"/>
      <c r="ALF31" s="372"/>
      <c r="ALG31" s="372"/>
      <c r="ALH31" s="372"/>
      <c r="ALI31" s="372"/>
      <c r="ALP31" s="373" t="s">
        <v>2010</v>
      </c>
      <c r="ALQ31" s="373"/>
      <c r="ALR31" s="373"/>
      <c r="ALS31" s="373"/>
      <c r="ALT31" s="373"/>
      <c r="ALU31" s="373"/>
      <c r="ALV31" s="373"/>
      <c r="ALW31" s="373"/>
      <c r="AME31" s="374" t="s">
        <v>2011</v>
      </c>
      <c r="AMF31" s="374"/>
      <c r="AMG31" s="372" t="s">
        <v>2009</v>
      </c>
      <c r="AMH31" s="372"/>
      <c r="AMI31" s="372"/>
      <c r="AMJ31" s="37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5"/>
  <sheetViews>
    <sheetView workbookViewId="0"/>
  </sheetViews>
  <sheetFormatPr defaultRowHeight="12.75" x14ac:dyDescent="0.2"/>
  <sheetData>
    <row r="1" spans="1:72" x14ac:dyDescent="0.2">
      <c r="A1" s="376" t="s">
        <v>2012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 t="s">
        <v>2012</v>
      </c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 t="s">
        <v>2012</v>
      </c>
      <c r="Z1" s="376"/>
      <c r="AA1" s="376"/>
      <c r="AB1" s="376"/>
      <c r="AC1" s="376"/>
      <c r="AD1" s="376"/>
      <c r="AE1" s="376"/>
      <c r="AF1" s="376"/>
      <c r="AG1" s="376"/>
      <c r="AH1" s="376"/>
      <c r="AI1" s="376"/>
      <c r="AJ1" s="376"/>
      <c r="AK1" s="376" t="s">
        <v>2012</v>
      </c>
      <c r="AL1" s="376"/>
      <c r="AM1" s="376"/>
      <c r="AN1" s="376"/>
      <c r="AO1" s="376"/>
      <c r="AP1" s="376"/>
      <c r="AQ1" s="376"/>
      <c r="AR1" s="376"/>
      <c r="AS1" s="376"/>
      <c r="AT1" s="376"/>
      <c r="AU1" s="376"/>
      <c r="AV1" s="376"/>
      <c r="AW1" s="376" t="s">
        <v>2012</v>
      </c>
      <c r="AX1" s="376"/>
      <c r="AY1" s="376"/>
      <c r="AZ1" s="376"/>
      <c r="BA1" s="376"/>
      <c r="BB1" s="376"/>
      <c r="BC1" s="376"/>
      <c r="BD1" s="376"/>
      <c r="BE1" s="376"/>
      <c r="BF1" s="376"/>
      <c r="BG1" s="376"/>
      <c r="BH1" s="376"/>
      <c r="BI1" s="376" t="s">
        <v>2012</v>
      </c>
      <c r="BJ1" s="376"/>
      <c r="BK1" s="376"/>
      <c r="BL1" s="376"/>
      <c r="BM1" s="376"/>
      <c r="BN1" s="376"/>
      <c r="BO1" s="376"/>
      <c r="BP1" s="376"/>
      <c r="BQ1" s="376"/>
      <c r="BR1" s="376"/>
      <c r="BS1" s="376"/>
      <c r="BT1" s="376"/>
    </row>
    <row r="2" spans="1:72" ht="60" x14ac:dyDescent="0.2">
      <c r="A2" s="377" t="s">
        <v>2013</v>
      </c>
      <c r="B2" s="377"/>
      <c r="C2" s="378" t="s">
        <v>2014</v>
      </c>
      <c r="D2" s="378" t="s">
        <v>2015</v>
      </c>
      <c r="E2" s="379" t="s">
        <v>2016</v>
      </c>
      <c r="F2" s="379" t="s">
        <v>2017</v>
      </c>
      <c r="G2" s="379" t="s">
        <v>2018</v>
      </c>
      <c r="H2" s="379" t="s">
        <v>2019</v>
      </c>
      <c r="I2" s="379" t="s">
        <v>2020</v>
      </c>
      <c r="J2" s="379" t="s">
        <v>2021</v>
      </c>
      <c r="K2" s="380" t="s">
        <v>2022</v>
      </c>
      <c r="L2" s="380"/>
      <c r="M2" s="377" t="s">
        <v>2013</v>
      </c>
      <c r="N2" s="377"/>
      <c r="O2" s="378" t="s">
        <v>2014</v>
      </c>
      <c r="P2" s="378" t="s">
        <v>2015</v>
      </c>
      <c r="Q2" s="379" t="s">
        <v>2016</v>
      </c>
      <c r="R2" s="379" t="s">
        <v>2017</v>
      </c>
      <c r="S2" s="379" t="s">
        <v>2018</v>
      </c>
      <c r="T2" s="379" t="s">
        <v>2019</v>
      </c>
      <c r="U2" s="379" t="s">
        <v>2020</v>
      </c>
      <c r="V2" s="379" t="s">
        <v>2021</v>
      </c>
      <c r="W2" s="380" t="s">
        <v>2022</v>
      </c>
      <c r="X2" s="380"/>
      <c r="Y2" s="377" t="s">
        <v>2013</v>
      </c>
      <c r="Z2" s="377"/>
      <c r="AA2" s="378" t="s">
        <v>2014</v>
      </c>
      <c r="AB2" s="378" t="s">
        <v>2015</v>
      </c>
      <c r="AC2" s="379" t="s">
        <v>2016</v>
      </c>
      <c r="AD2" s="379" t="s">
        <v>2017</v>
      </c>
      <c r="AE2" s="379" t="s">
        <v>2018</v>
      </c>
      <c r="AF2" s="379" t="s">
        <v>2019</v>
      </c>
      <c r="AG2" s="379" t="s">
        <v>2020</v>
      </c>
      <c r="AH2" s="379" t="s">
        <v>2021</v>
      </c>
      <c r="AI2" s="380" t="s">
        <v>2022</v>
      </c>
      <c r="AJ2" s="380"/>
      <c r="AK2" s="377" t="s">
        <v>2013</v>
      </c>
      <c r="AL2" s="377"/>
      <c r="AM2" s="378" t="s">
        <v>2014</v>
      </c>
      <c r="AN2" s="378" t="s">
        <v>2015</v>
      </c>
      <c r="AO2" s="379" t="s">
        <v>2016</v>
      </c>
      <c r="AP2" s="379" t="s">
        <v>2017</v>
      </c>
      <c r="AQ2" s="379" t="s">
        <v>2018</v>
      </c>
      <c r="AR2" s="379" t="s">
        <v>2019</v>
      </c>
      <c r="AS2" s="379" t="s">
        <v>2020</v>
      </c>
      <c r="AT2" s="379" t="s">
        <v>2021</v>
      </c>
      <c r="AU2" s="380" t="s">
        <v>2022</v>
      </c>
      <c r="AV2" s="380"/>
      <c r="AW2" s="377" t="s">
        <v>2013</v>
      </c>
      <c r="AX2" s="377"/>
      <c r="AY2" s="378" t="s">
        <v>2014</v>
      </c>
      <c r="AZ2" s="378" t="s">
        <v>2015</v>
      </c>
      <c r="BA2" s="379" t="s">
        <v>2016</v>
      </c>
      <c r="BB2" s="379" t="s">
        <v>2017</v>
      </c>
      <c r="BC2" s="379" t="s">
        <v>2018</v>
      </c>
      <c r="BD2" s="379" t="s">
        <v>2019</v>
      </c>
      <c r="BE2" s="379" t="s">
        <v>2020</v>
      </c>
      <c r="BF2" s="379" t="s">
        <v>2021</v>
      </c>
      <c r="BG2" s="380" t="s">
        <v>2022</v>
      </c>
      <c r="BH2" s="380"/>
      <c r="BI2" s="377" t="s">
        <v>2013</v>
      </c>
      <c r="BJ2" s="377"/>
      <c r="BK2" s="378" t="s">
        <v>2014</v>
      </c>
      <c r="BL2" s="378" t="s">
        <v>2015</v>
      </c>
      <c r="BM2" s="379" t="s">
        <v>2016</v>
      </c>
      <c r="BN2" s="379" t="s">
        <v>2017</v>
      </c>
      <c r="BO2" s="379" t="s">
        <v>2018</v>
      </c>
      <c r="BP2" s="379" t="s">
        <v>2019</v>
      </c>
      <c r="BQ2" s="379" t="s">
        <v>2020</v>
      </c>
      <c r="BR2" s="379" t="s">
        <v>2021</v>
      </c>
      <c r="BS2" s="380" t="s">
        <v>2022</v>
      </c>
      <c r="BT2" s="380"/>
    </row>
    <row r="3" spans="1:72" x14ac:dyDescent="0.2">
      <c r="A3" s="377"/>
      <c r="B3" s="377"/>
      <c r="C3" s="378"/>
      <c r="D3" s="378"/>
      <c r="E3" s="379"/>
      <c r="F3" s="379"/>
      <c r="G3" s="379"/>
      <c r="H3" s="379"/>
      <c r="I3" s="379"/>
      <c r="J3" s="379"/>
      <c r="K3" s="380"/>
      <c r="L3" s="380"/>
      <c r="M3" s="377"/>
      <c r="N3" s="377"/>
      <c r="O3" s="378"/>
      <c r="P3" s="378"/>
      <c r="Q3" s="379"/>
      <c r="R3" s="379"/>
      <c r="S3" s="379"/>
      <c r="T3" s="379"/>
      <c r="U3" s="379"/>
      <c r="V3" s="379"/>
      <c r="W3" s="380"/>
      <c r="X3" s="380"/>
      <c r="Y3" s="377"/>
      <c r="Z3" s="377"/>
      <c r="AA3" s="378"/>
      <c r="AB3" s="378"/>
      <c r="AC3" s="379"/>
      <c r="AD3" s="379"/>
      <c r="AE3" s="379"/>
      <c r="AF3" s="379"/>
      <c r="AG3" s="379"/>
      <c r="AH3" s="379"/>
      <c r="AI3" s="380"/>
      <c r="AJ3" s="380"/>
      <c r="AK3" s="377"/>
      <c r="AL3" s="377"/>
      <c r="AM3" s="378"/>
      <c r="AN3" s="378"/>
      <c r="AO3" s="379"/>
      <c r="AP3" s="379"/>
      <c r="AQ3" s="379"/>
      <c r="AR3" s="379"/>
      <c r="AS3" s="379"/>
      <c r="AT3" s="379"/>
      <c r="AU3" s="380"/>
      <c r="AV3" s="380"/>
      <c r="AW3" s="377"/>
      <c r="AX3" s="377"/>
      <c r="AY3" s="378"/>
      <c r="AZ3" s="378"/>
      <c r="BA3" s="379"/>
      <c r="BB3" s="379"/>
      <c r="BC3" s="379"/>
      <c r="BD3" s="379"/>
      <c r="BE3" s="379"/>
      <c r="BF3" s="379"/>
      <c r="BG3" s="380"/>
      <c r="BH3" s="380"/>
      <c r="BI3" s="377"/>
      <c r="BJ3" s="377"/>
      <c r="BK3" s="378"/>
      <c r="BL3" s="378"/>
      <c r="BM3" s="379"/>
      <c r="BN3" s="379"/>
      <c r="BO3" s="379"/>
      <c r="BP3" s="379"/>
      <c r="BQ3" s="379"/>
      <c r="BR3" s="379"/>
      <c r="BS3" s="380"/>
      <c r="BT3" s="380"/>
    </row>
    <row r="4" spans="1:72" x14ac:dyDescent="0.2">
      <c r="A4" s="381" t="s">
        <v>2023</v>
      </c>
      <c r="B4" s="382" t="s">
        <v>2024</v>
      </c>
      <c r="C4" s="378"/>
      <c r="D4" s="378"/>
      <c r="E4" s="379"/>
      <c r="F4" s="379"/>
      <c r="G4" s="379"/>
      <c r="H4" s="379"/>
      <c r="I4" s="379"/>
      <c r="J4" s="379"/>
      <c r="K4" s="383" t="s">
        <v>2023</v>
      </c>
      <c r="L4" s="384" t="s">
        <v>2024</v>
      </c>
      <c r="M4" s="381" t="s">
        <v>2023</v>
      </c>
      <c r="N4" s="382" t="s">
        <v>2024</v>
      </c>
      <c r="O4" s="378"/>
      <c r="P4" s="378"/>
      <c r="Q4" s="379"/>
      <c r="R4" s="379"/>
      <c r="S4" s="379"/>
      <c r="T4" s="379"/>
      <c r="U4" s="379"/>
      <c r="V4" s="379"/>
      <c r="W4" s="383" t="s">
        <v>2023</v>
      </c>
      <c r="X4" s="384" t="s">
        <v>2024</v>
      </c>
      <c r="Y4" s="381" t="s">
        <v>2023</v>
      </c>
      <c r="Z4" s="382" t="s">
        <v>2024</v>
      </c>
      <c r="AA4" s="378"/>
      <c r="AB4" s="378"/>
      <c r="AC4" s="379"/>
      <c r="AD4" s="379"/>
      <c r="AE4" s="379"/>
      <c r="AF4" s="379"/>
      <c r="AG4" s="379"/>
      <c r="AH4" s="379"/>
      <c r="AI4" s="383" t="s">
        <v>2023</v>
      </c>
      <c r="AJ4" s="384" t="s">
        <v>2024</v>
      </c>
      <c r="AK4" s="381" t="s">
        <v>2023</v>
      </c>
      <c r="AL4" s="382" t="s">
        <v>2024</v>
      </c>
      <c r="AM4" s="378"/>
      <c r="AN4" s="378"/>
      <c r="AO4" s="379"/>
      <c r="AP4" s="379"/>
      <c r="AQ4" s="379"/>
      <c r="AR4" s="379"/>
      <c r="AS4" s="379"/>
      <c r="AT4" s="379"/>
      <c r="AU4" s="383" t="s">
        <v>2023</v>
      </c>
      <c r="AV4" s="384" t="s">
        <v>2024</v>
      </c>
      <c r="AW4" s="381" t="s">
        <v>2023</v>
      </c>
      <c r="AX4" s="382" t="s">
        <v>2024</v>
      </c>
      <c r="AY4" s="378"/>
      <c r="AZ4" s="378"/>
      <c r="BA4" s="379"/>
      <c r="BB4" s="379"/>
      <c r="BC4" s="379"/>
      <c r="BD4" s="379"/>
      <c r="BE4" s="379"/>
      <c r="BF4" s="379"/>
      <c r="BG4" s="383" t="s">
        <v>2023</v>
      </c>
      <c r="BH4" s="384" t="s">
        <v>2024</v>
      </c>
      <c r="BI4" s="381" t="s">
        <v>2023</v>
      </c>
      <c r="BJ4" s="382" t="s">
        <v>2024</v>
      </c>
      <c r="BK4" s="378"/>
      <c r="BL4" s="378"/>
      <c r="BM4" s="379"/>
      <c r="BN4" s="379"/>
      <c r="BO4" s="379"/>
      <c r="BP4" s="379"/>
      <c r="BQ4" s="379"/>
      <c r="BR4" s="379"/>
      <c r="BS4" s="383" t="s">
        <v>2023</v>
      </c>
      <c r="BT4" s="384" t="s">
        <v>2024</v>
      </c>
    </row>
    <row r="5" spans="1:72" ht="14.25" x14ac:dyDescent="0.2">
      <c r="A5" s="385" t="s">
        <v>2025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 t="s">
        <v>2025</v>
      </c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 t="s">
        <v>2025</v>
      </c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 t="s">
        <v>2025</v>
      </c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 t="s">
        <v>2025</v>
      </c>
      <c r="AX5" s="385"/>
      <c r="AY5" s="385"/>
      <c r="AZ5" s="385"/>
      <c r="BA5" s="385"/>
      <c r="BB5" s="385"/>
      <c r="BC5" s="385"/>
      <c r="BD5" s="385"/>
      <c r="BE5" s="385"/>
      <c r="BF5" s="385"/>
      <c r="BG5" s="385"/>
      <c r="BH5" s="385"/>
      <c r="BI5" s="385" t="s">
        <v>2025</v>
      </c>
      <c r="BJ5" s="385"/>
      <c r="BK5" s="385"/>
      <c r="BL5" s="385"/>
      <c r="BM5" s="385"/>
      <c r="BN5" s="385"/>
      <c r="BO5" s="385"/>
      <c r="BP5" s="385"/>
      <c r="BQ5" s="385"/>
      <c r="BR5" s="385"/>
      <c r="BS5" s="385"/>
      <c r="BT5" s="385"/>
    </row>
    <row r="6" spans="1:72" x14ac:dyDescent="0.2">
      <c r="A6" s="386"/>
      <c r="B6" s="387"/>
      <c r="C6" s="388"/>
      <c r="D6" s="388"/>
      <c r="E6" s="388"/>
      <c r="F6" s="389"/>
      <c r="G6" s="390"/>
      <c r="H6" s="387"/>
      <c r="I6" s="387"/>
      <c r="J6" s="387"/>
      <c r="K6" s="387"/>
      <c r="L6" s="391"/>
      <c r="M6" s="386"/>
      <c r="N6" s="387"/>
      <c r="O6" s="388"/>
      <c r="P6" s="388"/>
      <c r="Q6" s="387"/>
      <c r="R6" s="389"/>
      <c r="S6" s="390"/>
      <c r="T6" s="387"/>
      <c r="U6" s="387"/>
      <c r="V6" s="387"/>
      <c r="W6" s="387"/>
      <c r="X6" s="391"/>
      <c r="Y6" s="386"/>
      <c r="Z6" s="387"/>
      <c r="AA6" s="388"/>
      <c r="AB6" s="388"/>
      <c r="AC6" s="387"/>
      <c r="AD6" s="389"/>
      <c r="AE6" s="390"/>
      <c r="AF6" s="387"/>
      <c r="AG6" s="387"/>
      <c r="AH6" s="387"/>
      <c r="AI6" s="387"/>
      <c r="AJ6" s="391"/>
      <c r="AK6" s="386"/>
      <c r="AL6" s="387"/>
      <c r="AM6" s="388"/>
      <c r="AN6" s="388"/>
      <c r="AO6" s="387"/>
      <c r="AP6" s="389"/>
      <c r="AQ6" s="390"/>
      <c r="AR6" s="387"/>
      <c r="AS6" s="387"/>
      <c r="AT6" s="387"/>
      <c r="AU6" s="387"/>
      <c r="AV6" s="391"/>
      <c r="AW6" s="386"/>
      <c r="AX6" s="387"/>
      <c r="AY6" s="388"/>
      <c r="AZ6" s="388"/>
      <c r="BA6" s="387"/>
      <c r="BB6" s="389"/>
      <c r="BC6" s="390"/>
      <c r="BD6" s="387"/>
      <c r="BE6" s="387"/>
      <c r="BF6" s="387"/>
      <c r="BG6" s="387"/>
      <c r="BH6" s="391"/>
      <c r="BI6" s="386"/>
      <c r="BJ6" s="387"/>
      <c r="BK6" s="388"/>
      <c r="BL6" s="388"/>
      <c r="BM6" s="387"/>
      <c r="BN6" s="389"/>
      <c r="BO6" s="390"/>
      <c r="BP6" s="387"/>
      <c r="BQ6" s="387"/>
      <c r="BR6" s="387"/>
      <c r="BS6" s="387"/>
      <c r="BT6" s="391"/>
    </row>
    <row r="7" spans="1:72" x14ac:dyDescent="0.2">
      <c r="A7" s="392"/>
      <c r="B7" s="393"/>
      <c r="C7" s="394"/>
      <c r="D7" s="394"/>
      <c r="E7" s="395"/>
      <c r="F7" s="396"/>
      <c r="G7" s="397"/>
      <c r="H7" s="393"/>
      <c r="I7" s="393"/>
      <c r="J7" s="393"/>
      <c r="K7" s="393"/>
      <c r="L7" s="398"/>
      <c r="M7" s="392"/>
      <c r="N7" s="393"/>
      <c r="O7" s="394"/>
      <c r="P7" s="394"/>
      <c r="Q7" s="393"/>
      <c r="R7" s="399"/>
      <c r="S7" s="400"/>
      <c r="T7" s="393"/>
      <c r="U7" s="393"/>
      <c r="V7" s="393"/>
      <c r="W7" s="393"/>
      <c r="X7" s="398"/>
      <c r="Y7" s="392"/>
      <c r="Z7" s="393"/>
      <c r="AA7" s="394"/>
      <c r="AB7" s="394"/>
      <c r="AC7" s="393"/>
      <c r="AD7" s="399"/>
      <c r="AE7" s="400"/>
      <c r="AF7" s="393"/>
      <c r="AG7" s="393"/>
      <c r="AH7" s="393"/>
      <c r="AI7" s="393"/>
      <c r="AJ7" s="398"/>
      <c r="AK7" s="392"/>
      <c r="AL7" s="393"/>
      <c r="AM7" s="394"/>
      <c r="AN7" s="394"/>
      <c r="AO7" s="393"/>
      <c r="AP7" s="399"/>
      <c r="AQ7" s="400"/>
      <c r="AR7" s="393"/>
      <c r="AS7" s="393"/>
      <c r="AT7" s="393"/>
      <c r="AU7" s="393"/>
      <c r="AV7" s="398"/>
      <c r="AW7" s="392"/>
      <c r="AX7" s="393"/>
      <c r="AY7" s="394"/>
      <c r="AZ7" s="394"/>
      <c r="BA7" s="393"/>
      <c r="BB7" s="399"/>
      <c r="BC7" s="400"/>
      <c r="BD7" s="393"/>
      <c r="BE7" s="393"/>
      <c r="BF7" s="393"/>
      <c r="BG7" s="393"/>
      <c r="BH7" s="398"/>
      <c r="BI7" s="392"/>
      <c r="BJ7" s="393"/>
      <c r="BK7" s="394"/>
      <c r="BL7" s="394"/>
      <c r="BM7" s="393"/>
      <c r="BN7" s="399"/>
      <c r="BO7" s="400"/>
      <c r="BP7" s="393"/>
      <c r="BQ7" s="393"/>
      <c r="BR7" s="393"/>
      <c r="BS7" s="393"/>
      <c r="BT7" s="398"/>
    </row>
    <row r="8" spans="1:72" x14ac:dyDescent="0.2">
      <c r="A8" s="401"/>
      <c r="B8" s="387"/>
      <c r="C8" s="388"/>
      <c r="D8" s="388"/>
      <c r="E8" s="388"/>
      <c r="F8" s="389"/>
      <c r="G8" s="390"/>
      <c r="H8" s="387"/>
      <c r="I8" s="387"/>
      <c r="J8" s="387"/>
      <c r="K8" s="387"/>
      <c r="L8" s="391"/>
      <c r="M8" s="401"/>
      <c r="N8" s="387"/>
      <c r="O8" s="388"/>
      <c r="P8" s="388"/>
      <c r="Q8" s="387"/>
      <c r="R8" s="389"/>
      <c r="S8" s="390"/>
      <c r="T8" s="387"/>
      <c r="U8" s="387"/>
      <c r="V8" s="387"/>
      <c r="W8" s="387"/>
      <c r="X8" s="391"/>
      <c r="Y8" s="401"/>
      <c r="Z8" s="387"/>
      <c r="AA8" s="388"/>
      <c r="AB8" s="388"/>
      <c r="AC8" s="387"/>
      <c r="AD8" s="389"/>
      <c r="AE8" s="390"/>
      <c r="AF8" s="387"/>
      <c r="AG8" s="387"/>
      <c r="AH8" s="387"/>
      <c r="AI8" s="387"/>
      <c r="AJ8" s="391"/>
      <c r="AK8" s="401"/>
      <c r="AL8" s="387"/>
      <c r="AM8" s="388"/>
      <c r="AN8" s="388"/>
      <c r="AO8" s="387"/>
      <c r="AP8" s="389"/>
      <c r="AQ8" s="390"/>
      <c r="AR8" s="387"/>
      <c r="AS8" s="387"/>
      <c r="AT8" s="387"/>
      <c r="AU8" s="387"/>
      <c r="AV8" s="391"/>
      <c r="AW8" s="401"/>
      <c r="AX8" s="387"/>
      <c r="AY8" s="388"/>
      <c r="AZ8" s="388"/>
      <c r="BA8" s="387"/>
      <c r="BB8" s="389"/>
      <c r="BC8" s="390"/>
      <c r="BD8" s="387"/>
      <c r="BE8" s="387"/>
      <c r="BF8" s="387"/>
      <c r="BG8" s="387"/>
      <c r="BH8" s="391"/>
      <c r="BI8" s="401"/>
      <c r="BJ8" s="387"/>
      <c r="BK8" s="388"/>
      <c r="BL8" s="388"/>
      <c r="BM8" s="387"/>
      <c r="BN8" s="389"/>
      <c r="BO8" s="390"/>
      <c r="BP8" s="387"/>
      <c r="BQ8" s="387"/>
      <c r="BR8" s="387"/>
      <c r="BS8" s="387"/>
      <c r="BT8" s="391"/>
    </row>
    <row r="9" spans="1:72" x14ac:dyDescent="0.2">
      <c r="A9" s="392"/>
      <c r="B9" s="393"/>
      <c r="C9" s="394"/>
      <c r="D9" s="394"/>
      <c r="E9" s="394"/>
      <c r="F9" s="396"/>
      <c r="G9" s="397"/>
      <c r="H9" s="393"/>
      <c r="I9" s="393"/>
      <c r="J9" s="393"/>
      <c r="K9" s="393"/>
      <c r="L9" s="398"/>
      <c r="M9" s="392"/>
      <c r="N9" s="393"/>
      <c r="O9" s="394"/>
      <c r="P9" s="394"/>
      <c r="Q9" s="393"/>
      <c r="R9" s="402"/>
      <c r="S9" s="400"/>
      <c r="T9" s="393"/>
      <c r="U9" s="393"/>
      <c r="V9" s="393"/>
      <c r="W9" s="393"/>
      <c r="X9" s="398"/>
      <c r="Y9" s="392"/>
      <c r="Z9" s="393"/>
      <c r="AA9" s="394"/>
      <c r="AB9" s="394"/>
      <c r="AC9" s="393"/>
      <c r="AD9" s="402"/>
      <c r="AE9" s="400"/>
      <c r="AF9" s="393"/>
      <c r="AG9" s="393"/>
      <c r="AH9" s="393"/>
      <c r="AI9" s="393"/>
      <c r="AJ9" s="398"/>
      <c r="AK9" s="392"/>
      <c r="AL9" s="393"/>
      <c r="AM9" s="394"/>
      <c r="AN9" s="394"/>
      <c r="AO9" s="393"/>
      <c r="AP9" s="402"/>
      <c r="AQ9" s="400"/>
      <c r="AR9" s="393"/>
      <c r="AS9" s="393"/>
      <c r="AT9" s="393"/>
      <c r="AU9" s="393"/>
      <c r="AV9" s="398"/>
      <c r="AW9" s="392"/>
      <c r="AX9" s="393"/>
      <c r="AY9" s="394"/>
      <c r="AZ9" s="394"/>
      <c r="BA9" s="393"/>
      <c r="BB9" s="402"/>
      <c r="BC9" s="400"/>
      <c r="BD9" s="393"/>
      <c r="BE9" s="393"/>
      <c r="BF9" s="393"/>
      <c r="BG9" s="393"/>
      <c r="BH9" s="398"/>
      <c r="BI9" s="392"/>
      <c r="BJ9" s="393"/>
      <c r="BK9" s="394"/>
      <c r="BL9" s="394"/>
      <c r="BM9" s="393"/>
      <c r="BN9" s="402"/>
      <c r="BO9" s="400"/>
      <c r="BP9" s="393"/>
      <c r="BQ9" s="393"/>
      <c r="BR9" s="393"/>
      <c r="BS9" s="393"/>
      <c r="BT9" s="398"/>
    </row>
    <row r="10" spans="1:72" x14ac:dyDescent="0.2">
      <c r="A10" s="401"/>
      <c r="B10" s="387"/>
      <c r="C10" s="388"/>
      <c r="D10" s="388"/>
      <c r="E10" s="388"/>
      <c r="F10" s="389"/>
      <c r="G10" s="390"/>
      <c r="H10" s="387"/>
      <c r="I10" s="387"/>
      <c r="J10" s="387"/>
      <c r="K10" s="387"/>
      <c r="L10" s="391"/>
      <c r="M10" s="401"/>
      <c r="N10" s="387"/>
      <c r="O10" s="388"/>
      <c r="P10" s="388"/>
      <c r="Q10" s="387"/>
      <c r="R10" s="389"/>
      <c r="S10" s="403"/>
      <c r="T10" s="387"/>
      <c r="U10" s="387"/>
      <c r="V10" s="387"/>
      <c r="W10" s="387"/>
      <c r="X10" s="391"/>
      <c r="Y10" s="401"/>
      <c r="Z10" s="387"/>
      <c r="AA10" s="388"/>
      <c r="AB10" s="388"/>
      <c r="AC10" s="387"/>
      <c r="AD10" s="389"/>
      <c r="AE10" s="390"/>
      <c r="AF10" s="387"/>
      <c r="AG10" s="387"/>
      <c r="AH10" s="387"/>
      <c r="AI10" s="387"/>
      <c r="AJ10" s="391"/>
      <c r="AK10" s="401"/>
      <c r="AL10" s="387"/>
      <c r="AM10" s="388"/>
      <c r="AN10" s="388"/>
      <c r="AO10" s="387"/>
      <c r="AP10" s="389"/>
      <c r="AQ10" s="390"/>
      <c r="AR10" s="387"/>
      <c r="AS10" s="387"/>
      <c r="AT10" s="387"/>
      <c r="AU10" s="387"/>
      <c r="AV10" s="391"/>
      <c r="AW10" s="401"/>
      <c r="AX10" s="387"/>
      <c r="AY10" s="388"/>
      <c r="AZ10" s="388"/>
      <c r="BA10" s="387"/>
      <c r="BB10" s="389"/>
      <c r="BC10" s="403"/>
      <c r="BD10" s="387"/>
      <c r="BE10" s="387"/>
      <c r="BF10" s="387"/>
      <c r="BG10" s="387"/>
      <c r="BH10" s="391"/>
      <c r="BI10" s="401"/>
      <c r="BJ10" s="387"/>
      <c r="BK10" s="388"/>
      <c r="BL10" s="388"/>
      <c r="BM10" s="387"/>
      <c r="BN10" s="389"/>
      <c r="BO10" s="403"/>
      <c r="BP10" s="387"/>
      <c r="BQ10" s="387"/>
      <c r="BR10" s="387"/>
      <c r="BS10" s="387"/>
      <c r="BT10" s="391"/>
    </row>
    <row r="11" spans="1:72" x14ac:dyDescent="0.2">
      <c r="A11" s="392"/>
      <c r="B11" s="393"/>
      <c r="C11" s="394"/>
      <c r="D11" s="394"/>
      <c r="E11" s="394"/>
      <c r="F11" s="399"/>
      <c r="G11" s="400"/>
      <c r="H11" s="393"/>
      <c r="I11" s="393"/>
      <c r="J11" s="393"/>
      <c r="K11" s="393"/>
      <c r="L11" s="398"/>
      <c r="M11" s="392"/>
      <c r="N11" s="393"/>
      <c r="O11" s="394"/>
      <c r="P11" s="394"/>
      <c r="Q11" s="393"/>
      <c r="R11" s="399"/>
      <c r="S11" s="400"/>
      <c r="T11" s="393"/>
      <c r="U11" s="393"/>
      <c r="V11" s="393"/>
      <c r="W11" s="393"/>
      <c r="X11" s="398"/>
      <c r="Y11" s="392"/>
      <c r="Z11" s="393"/>
      <c r="AA11" s="394"/>
      <c r="AB11" s="394"/>
      <c r="AC11" s="393"/>
      <c r="AD11" s="399"/>
      <c r="AE11" s="400"/>
      <c r="AF11" s="393"/>
      <c r="AG11" s="393"/>
      <c r="AH11" s="393"/>
      <c r="AI11" s="393"/>
      <c r="AJ11" s="398"/>
      <c r="AK11" s="392"/>
      <c r="AL11" s="393"/>
      <c r="AM11" s="394"/>
      <c r="AN11" s="394"/>
      <c r="AO11" s="393"/>
      <c r="AP11" s="399"/>
      <c r="AQ11" s="400"/>
      <c r="AR11" s="393"/>
      <c r="AS11" s="393"/>
      <c r="AT11" s="393"/>
      <c r="AU11" s="393"/>
      <c r="AV11" s="398"/>
      <c r="AW11" s="392"/>
      <c r="AX11" s="393"/>
      <c r="AY11" s="394"/>
      <c r="AZ11" s="394"/>
      <c r="BA11" s="393"/>
      <c r="BB11" s="399"/>
      <c r="BC11" s="400"/>
      <c r="BD11" s="393"/>
      <c r="BE11" s="393"/>
      <c r="BF11" s="393"/>
      <c r="BG11" s="393"/>
      <c r="BH11" s="398"/>
      <c r="BI11" s="392"/>
      <c r="BJ11" s="393"/>
      <c r="BK11" s="394"/>
      <c r="BL11" s="394"/>
      <c r="BM11" s="393"/>
      <c r="BN11" s="399"/>
      <c r="BO11" s="400"/>
      <c r="BP11" s="393"/>
      <c r="BQ11" s="393"/>
      <c r="BR11" s="393"/>
      <c r="BS11" s="393"/>
      <c r="BT11" s="398"/>
    </row>
    <row r="12" spans="1:72" x14ac:dyDescent="0.2">
      <c r="A12" s="401"/>
      <c r="B12" s="387"/>
      <c r="C12" s="388"/>
      <c r="D12" s="388"/>
      <c r="E12" s="388"/>
      <c r="F12" s="404"/>
      <c r="G12" s="390"/>
      <c r="H12" s="387"/>
      <c r="I12" s="387"/>
      <c r="J12" s="387"/>
      <c r="K12" s="387"/>
      <c r="L12" s="391"/>
      <c r="M12" s="401"/>
      <c r="N12" s="387"/>
      <c r="O12" s="388"/>
      <c r="P12" s="388"/>
      <c r="Q12" s="387"/>
      <c r="R12" s="404"/>
      <c r="S12" s="390"/>
      <c r="T12" s="387"/>
      <c r="U12" s="387"/>
      <c r="V12" s="387"/>
      <c r="W12" s="387"/>
      <c r="X12" s="391"/>
      <c r="Y12" s="401"/>
      <c r="Z12" s="387"/>
      <c r="AA12" s="388"/>
      <c r="AB12" s="388"/>
      <c r="AC12" s="387"/>
      <c r="AD12" s="404"/>
      <c r="AE12" s="390"/>
      <c r="AF12" s="387"/>
      <c r="AG12" s="387"/>
      <c r="AH12" s="387"/>
      <c r="AI12" s="387"/>
      <c r="AJ12" s="391"/>
      <c r="AK12" s="401"/>
      <c r="AL12" s="387"/>
      <c r="AM12" s="388"/>
      <c r="AN12" s="388"/>
      <c r="AO12" s="387"/>
      <c r="AP12" s="404"/>
      <c r="AQ12" s="390"/>
      <c r="AR12" s="387"/>
      <c r="AS12" s="387"/>
      <c r="AT12" s="387"/>
      <c r="AU12" s="387"/>
      <c r="AV12" s="391"/>
      <c r="AW12" s="401"/>
      <c r="AX12" s="387"/>
      <c r="AY12" s="388"/>
      <c r="AZ12" s="388"/>
      <c r="BA12" s="387"/>
      <c r="BB12" s="404"/>
      <c r="BC12" s="390"/>
      <c r="BD12" s="387"/>
      <c r="BE12" s="387"/>
      <c r="BF12" s="387"/>
      <c r="BG12" s="387"/>
      <c r="BH12" s="391"/>
      <c r="BI12" s="401"/>
      <c r="BJ12" s="387"/>
      <c r="BK12" s="388"/>
      <c r="BL12" s="388"/>
      <c r="BM12" s="387"/>
      <c r="BN12" s="404"/>
      <c r="BO12" s="390"/>
      <c r="BP12" s="387"/>
      <c r="BQ12" s="387"/>
      <c r="BR12" s="387"/>
      <c r="BS12" s="387"/>
      <c r="BT12" s="391"/>
    </row>
    <row r="13" spans="1:72" x14ac:dyDescent="0.2">
      <c r="A13" s="392"/>
      <c r="B13" s="393"/>
      <c r="C13" s="394"/>
      <c r="D13" s="394"/>
      <c r="E13" s="394"/>
      <c r="F13" s="396"/>
      <c r="G13" s="400"/>
      <c r="H13" s="393"/>
      <c r="I13" s="393"/>
      <c r="J13" s="393"/>
      <c r="K13" s="393"/>
      <c r="L13" s="398"/>
      <c r="M13" s="392"/>
      <c r="N13" s="393"/>
      <c r="O13" s="394"/>
      <c r="P13" s="394"/>
      <c r="Q13" s="393"/>
      <c r="R13" s="396"/>
      <c r="S13" s="400"/>
      <c r="T13" s="393"/>
      <c r="U13" s="393"/>
      <c r="V13" s="393"/>
      <c r="W13" s="393"/>
      <c r="X13" s="398"/>
      <c r="Y13" s="392"/>
      <c r="Z13" s="393"/>
      <c r="AA13" s="394"/>
      <c r="AB13" s="394"/>
      <c r="AC13" s="393"/>
      <c r="AD13" s="396"/>
      <c r="AE13" s="400"/>
      <c r="AF13" s="393"/>
      <c r="AG13" s="393"/>
      <c r="AH13" s="393"/>
      <c r="AI13" s="393"/>
      <c r="AJ13" s="398"/>
      <c r="AK13" s="392"/>
      <c r="AL13" s="393"/>
      <c r="AM13" s="394"/>
      <c r="AN13" s="394"/>
      <c r="AO13" s="393"/>
      <c r="AP13" s="396"/>
      <c r="AQ13" s="400"/>
      <c r="AR13" s="393"/>
      <c r="AS13" s="393"/>
      <c r="AT13" s="393"/>
      <c r="AU13" s="393"/>
      <c r="AV13" s="398"/>
      <c r="AW13" s="392"/>
      <c r="AX13" s="393"/>
      <c r="AY13" s="394"/>
      <c r="AZ13" s="394"/>
      <c r="BA13" s="393"/>
      <c r="BB13" s="396"/>
      <c r="BC13" s="400"/>
      <c r="BD13" s="393"/>
      <c r="BE13" s="393"/>
      <c r="BF13" s="393"/>
      <c r="BG13" s="393"/>
      <c r="BH13" s="398"/>
      <c r="BI13" s="392"/>
      <c r="BJ13" s="393"/>
      <c r="BK13" s="394"/>
      <c r="BL13" s="394"/>
      <c r="BM13" s="393"/>
      <c r="BN13" s="396"/>
      <c r="BO13" s="400"/>
      <c r="BP13" s="393"/>
      <c r="BQ13" s="393"/>
      <c r="BR13" s="393"/>
      <c r="BS13" s="393"/>
      <c r="BT13" s="398"/>
    </row>
    <row r="14" spans="1:72" x14ac:dyDescent="0.2">
      <c r="A14" s="401"/>
      <c r="B14" s="387"/>
      <c r="C14" s="388"/>
      <c r="D14" s="388"/>
      <c r="E14" s="387"/>
      <c r="F14" s="389"/>
      <c r="G14" s="390"/>
      <c r="H14" s="387"/>
      <c r="I14" s="387"/>
      <c r="J14" s="387"/>
      <c r="K14" s="387"/>
      <c r="L14" s="391"/>
      <c r="M14" s="401"/>
      <c r="N14" s="387"/>
      <c r="O14" s="388"/>
      <c r="P14" s="388"/>
      <c r="Q14" s="387"/>
      <c r="R14" s="389"/>
      <c r="S14" s="390"/>
      <c r="T14" s="387"/>
      <c r="U14" s="387"/>
      <c r="V14" s="387"/>
      <c r="W14" s="387"/>
      <c r="X14" s="391"/>
      <c r="Y14" s="401"/>
      <c r="Z14" s="387"/>
      <c r="AA14" s="388"/>
      <c r="AB14" s="388"/>
      <c r="AC14" s="387"/>
      <c r="AD14" s="389"/>
      <c r="AE14" s="390"/>
      <c r="AF14" s="387"/>
      <c r="AG14" s="387"/>
      <c r="AH14" s="387"/>
      <c r="AI14" s="387"/>
      <c r="AJ14" s="391"/>
      <c r="AK14" s="401"/>
      <c r="AL14" s="387"/>
      <c r="AM14" s="388"/>
      <c r="AN14" s="388"/>
      <c r="AO14" s="387"/>
      <c r="AP14" s="389"/>
      <c r="AQ14" s="390"/>
      <c r="AR14" s="387"/>
      <c r="AS14" s="387"/>
      <c r="AT14" s="387"/>
      <c r="AU14" s="387"/>
      <c r="AV14" s="391"/>
      <c r="AW14" s="401"/>
      <c r="AX14" s="387"/>
      <c r="AY14" s="388"/>
      <c r="AZ14" s="388"/>
      <c r="BA14" s="387"/>
      <c r="BB14" s="389"/>
      <c r="BC14" s="390"/>
      <c r="BD14" s="387"/>
      <c r="BE14" s="387"/>
      <c r="BF14" s="387"/>
      <c r="BG14" s="387"/>
      <c r="BH14" s="391"/>
      <c r="BI14" s="401"/>
      <c r="BJ14" s="387"/>
      <c r="BK14" s="388"/>
      <c r="BL14" s="388"/>
      <c r="BM14" s="387"/>
      <c r="BN14" s="389"/>
      <c r="BO14" s="390"/>
      <c r="BP14" s="387"/>
      <c r="BQ14" s="387"/>
      <c r="BR14" s="387"/>
      <c r="BS14" s="387"/>
      <c r="BT14" s="391"/>
    </row>
    <row r="15" spans="1:72" x14ac:dyDescent="0.2">
      <c r="A15" s="392"/>
      <c r="B15" s="393"/>
      <c r="C15" s="393"/>
      <c r="D15" s="393"/>
      <c r="E15" s="393"/>
      <c r="F15" s="399"/>
      <c r="G15" s="400"/>
      <c r="H15" s="393"/>
      <c r="I15" s="393"/>
      <c r="J15" s="393"/>
      <c r="K15" s="393"/>
      <c r="L15" s="398"/>
      <c r="M15" s="392"/>
      <c r="N15" s="393"/>
      <c r="O15" s="393"/>
      <c r="P15" s="393"/>
      <c r="Q15" s="393"/>
      <c r="R15" s="399"/>
      <c r="S15" s="400"/>
      <c r="T15" s="393"/>
      <c r="U15" s="393"/>
      <c r="V15" s="393"/>
      <c r="W15" s="393"/>
      <c r="X15" s="398"/>
      <c r="Y15" s="392"/>
      <c r="Z15" s="393"/>
      <c r="AA15" s="393"/>
      <c r="AB15" s="393"/>
      <c r="AC15" s="393"/>
      <c r="AD15" s="399"/>
      <c r="AE15" s="400"/>
      <c r="AF15" s="393"/>
      <c r="AG15" s="393"/>
      <c r="AH15" s="393"/>
      <c r="AI15" s="393"/>
      <c r="AJ15" s="398"/>
      <c r="AK15" s="392"/>
      <c r="AL15" s="393"/>
      <c r="AM15" s="393"/>
      <c r="AN15" s="393"/>
      <c r="AO15" s="393"/>
      <c r="AP15" s="399"/>
      <c r="AQ15" s="400"/>
      <c r="AR15" s="393"/>
      <c r="AS15" s="393"/>
      <c r="AT15" s="393"/>
      <c r="AU15" s="393"/>
      <c r="AV15" s="398"/>
      <c r="AW15" s="392"/>
      <c r="AX15" s="393"/>
      <c r="AY15" s="393"/>
      <c r="AZ15" s="393"/>
      <c r="BA15" s="393"/>
      <c r="BB15" s="399"/>
      <c r="BC15" s="400"/>
      <c r="BD15" s="393"/>
      <c r="BE15" s="393"/>
      <c r="BF15" s="393"/>
      <c r="BG15" s="393"/>
      <c r="BH15" s="398"/>
      <c r="BI15" s="392"/>
      <c r="BJ15" s="393"/>
      <c r="BK15" s="393"/>
      <c r="BL15" s="393"/>
      <c r="BM15" s="393"/>
      <c r="BN15" s="399"/>
      <c r="BO15" s="400"/>
      <c r="BP15" s="393"/>
      <c r="BQ15" s="393"/>
      <c r="BR15" s="393"/>
      <c r="BS15" s="393"/>
      <c r="BT15" s="398"/>
    </row>
    <row r="16" spans="1:72" x14ac:dyDescent="0.2">
      <c r="A16" s="401"/>
      <c r="B16" s="387"/>
      <c r="C16" s="387"/>
      <c r="D16" s="387"/>
      <c r="E16" s="387"/>
      <c r="F16" s="404"/>
      <c r="G16" s="390"/>
      <c r="H16" s="387"/>
      <c r="I16" s="387"/>
      <c r="J16" s="387"/>
      <c r="K16" s="387"/>
      <c r="L16" s="391"/>
      <c r="M16" s="401"/>
      <c r="N16" s="387"/>
      <c r="O16" s="387"/>
      <c r="P16" s="387"/>
      <c r="Q16" s="387"/>
      <c r="R16" s="404"/>
      <c r="S16" s="390"/>
      <c r="T16" s="387"/>
      <c r="U16" s="387"/>
      <c r="V16" s="387"/>
      <c r="W16" s="387"/>
      <c r="X16" s="391"/>
      <c r="Y16" s="401"/>
      <c r="Z16" s="387"/>
      <c r="AA16" s="387"/>
      <c r="AB16" s="387"/>
      <c r="AC16" s="387"/>
      <c r="AD16" s="404"/>
      <c r="AE16" s="390"/>
      <c r="AF16" s="387"/>
      <c r="AG16" s="387"/>
      <c r="AH16" s="387"/>
      <c r="AI16" s="387"/>
      <c r="AJ16" s="391"/>
      <c r="AK16" s="401"/>
      <c r="AL16" s="387"/>
      <c r="AM16" s="387"/>
      <c r="AN16" s="387"/>
      <c r="AO16" s="387"/>
      <c r="AP16" s="404"/>
      <c r="AQ16" s="390"/>
      <c r="AR16" s="387"/>
      <c r="AS16" s="387"/>
      <c r="AT16" s="387"/>
      <c r="AU16" s="387"/>
      <c r="AV16" s="391"/>
      <c r="AW16" s="401"/>
      <c r="AX16" s="387"/>
      <c r="AY16" s="387"/>
      <c r="AZ16" s="387"/>
      <c r="BA16" s="387"/>
      <c r="BB16" s="404"/>
      <c r="BC16" s="390"/>
      <c r="BD16" s="387"/>
      <c r="BE16" s="387"/>
      <c r="BF16" s="387"/>
      <c r="BG16" s="387"/>
      <c r="BH16" s="391"/>
      <c r="BI16" s="401"/>
      <c r="BJ16" s="387"/>
      <c r="BK16" s="387"/>
      <c r="BL16" s="387"/>
      <c r="BM16" s="387"/>
      <c r="BN16" s="404"/>
      <c r="BO16" s="390"/>
      <c r="BP16" s="387"/>
      <c r="BQ16" s="387"/>
      <c r="BR16" s="387"/>
      <c r="BS16" s="387"/>
      <c r="BT16" s="391"/>
    </row>
    <row r="17" spans="1:72" x14ac:dyDescent="0.2">
      <c r="A17" s="392"/>
      <c r="B17" s="393"/>
      <c r="C17" s="393"/>
      <c r="D17" s="393"/>
      <c r="E17" s="393"/>
      <c r="F17" s="399"/>
      <c r="G17" s="400"/>
      <c r="H17" s="393"/>
      <c r="I17" s="393"/>
      <c r="J17" s="393"/>
      <c r="K17" s="393"/>
      <c r="L17" s="398"/>
      <c r="M17" s="392"/>
      <c r="N17" s="393"/>
      <c r="O17" s="393"/>
      <c r="P17" s="393"/>
      <c r="Q17" s="393"/>
      <c r="R17" s="399"/>
      <c r="S17" s="400"/>
      <c r="T17" s="393"/>
      <c r="U17" s="393"/>
      <c r="V17" s="393"/>
      <c r="W17" s="393"/>
      <c r="X17" s="398"/>
      <c r="Y17" s="392"/>
      <c r="Z17" s="393"/>
      <c r="AA17" s="393"/>
      <c r="AB17" s="393"/>
      <c r="AC17" s="393"/>
      <c r="AD17" s="399"/>
      <c r="AE17" s="400"/>
      <c r="AF17" s="393"/>
      <c r="AG17" s="393"/>
      <c r="AH17" s="393"/>
      <c r="AI17" s="393"/>
      <c r="AJ17" s="398"/>
      <c r="AK17" s="392"/>
      <c r="AL17" s="393"/>
      <c r="AM17" s="393"/>
      <c r="AN17" s="393"/>
      <c r="AO17" s="393"/>
      <c r="AP17" s="399"/>
      <c r="AQ17" s="400"/>
      <c r="AR17" s="393"/>
      <c r="AS17" s="393"/>
      <c r="AT17" s="393"/>
      <c r="AU17" s="393"/>
      <c r="AV17" s="398"/>
      <c r="AW17" s="392"/>
      <c r="AX17" s="393"/>
      <c r="AY17" s="393"/>
      <c r="AZ17" s="393"/>
      <c r="BA17" s="393"/>
      <c r="BB17" s="399"/>
      <c r="BC17" s="400"/>
      <c r="BD17" s="393"/>
      <c r="BE17" s="393"/>
      <c r="BF17" s="393"/>
      <c r="BG17" s="393"/>
      <c r="BH17" s="398"/>
      <c r="BI17" s="392"/>
      <c r="BJ17" s="393"/>
      <c r="BK17" s="393"/>
      <c r="BL17" s="393"/>
      <c r="BM17" s="393"/>
      <c r="BN17" s="399"/>
      <c r="BO17" s="400"/>
      <c r="BP17" s="393"/>
      <c r="BQ17" s="393"/>
      <c r="BR17" s="393"/>
      <c r="BS17" s="393"/>
      <c r="BT17" s="398"/>
    </row>
    <row r="18" spans="1:72" x14ac:dyDescent="0.2">
      <c r="A18" s="401"/>
      <c r="B18" s="387"/>
      <c r="C18" s="387"/>
      <c r="D18" s="387"/>
      <c r="E18" s="387"/>
      <c r="F18" s="389"/>
      <c r="G18" s="405"/>
      <c r="H18" s="387"/>
      <c r="I18" s="387"/>
      <c r="J18" s="387"/>
      <c r="K18" s="387"/>
      <c r="L18" s="391"/>
      <c r="M18" s="401"/>
      <c r="N18" s="387"/>
      <c r="O18" s="387"/>
      <c r="P18" s="387"/>
      <c r="Q18" s="387"/>
      <c r="R18" s="389"/>
      <c r="S18" s="405"/>
      <c r="T18" s="387"/>
      <c r="U18" s="387"/>
      <c r="V18" s="387"/>
      <c r="W18" s="387"/>
      <c r="X18" s="391"/>
      <c r="Y18" s="401"/>
      <c r="Z18" s="387"/>
      <c r="AA18" s="387"/>
      <c r="AB18" s="387"/>
      <c r="AC18" s="387"/>
      <c r="AD18" s="389"/>
      <c r="AE18" s="405"/>
      <c r="AF18" s="387"/>
      <c r="AG18" s="387"/>
      <c r="AH18" s="387"/>
      <c r="AI18" s="387"/>
      <c r="AJ18" s="391"/>
      <c r="AK18" s="401"/>
      <c r="AL18" s="387"/>
      <c r="AM18" s="387"/>
      <c r="AN18" s="387"/>
      <c r="AO18" s="387"/>
      <c r="AP18" s="389"/>
      <c r="AQ18" s="405"/>
      <c r="AR18" s="387"/>
      <c r="AS18" s="387"/>
      <c r="AT18" s="387"/>
      <c r="AU18" s="387"/>
      <c r="AV18" s="391"/>
      <c r="AW18" s="401"/>
      <c r="AX18" s="387"/>
      <c r="AY18" s="387"/>
      <c r="AZ18" s="387"/>
      <c r="BA18" s="387"/>
      <c r="BB18" s="389"/>
      <c r="BC18" s="405"/>
      <c r="BD18" s="387"/>
      <c r="BE18" s="387"/>
      <c r="BF18" s="387"/>
      <c r="BG18" s="387"/>
      <c r="BH18" s="391"/>
      <c r="BI18" s="401"/>
      <c r="BJ18" s="387"/>
      <c r="BK18" s="387"/>
      <c r="BL18" s="387"/>
      <c r="BM18" s="387"/>
      <c r="BN18" s="389"/>
      <c r="BO18" s="405"/>
      <c r="BP18" s="387"/>
      <c r="BQ18" s="387"/>
      <c r="BR18" s="387"/>
      <c r="BS18" s="387"/>
      <c r="BT18" s="391"/>
    </row>
    <row r="19" spans="1:72" x14ac:dyDescent="0.2">
      <c r="A19" s="392"/>
      <c r="B19" s="393"/>
      <c r="C19" s="393"/>
      <c r="D19" s="393"/>
      <c r="E19" s="393"/>
      <c r="F19" s="399"/>
      <c r="G19" s="406"/>
      <c r="H19" s="393"/>
      <c r="I19" s="393"/>
      <c r="J19" s="393"/>
      <c r="K19" s="393"/>
      <c r="L19" s="398"/>
      <c r="M19" s="392"/>
      <c r="N19" s="393"/>
      <c r="O19" s="393"/>
      <c r="P19" s="393"/>
      <c r="Q19" s="393"/>
      <c r="R19" s="399"/>
      <c r="S19" s="406"/>
      <c r="T19" s="393"/>
      <c r="U19" s="393"/>
      <c r="V19" s="393"/>
      <c r="W19" s="393"/>
      <c r="X19" s="398"/>
      <c r="Y19" s="392"/>
      <c r="Z19" s="393"/>
      <c r="AA19" s="393"/>
      <c r="AB19" s="393"/>
      <c r="AC19" s="393"/>
      <c r="AD19" s="399"/>
      <c r="AE19" s="406"/>
      <c r="AF19" s="393"/>
      <c r="AG19" s="393"/>
      <c r="AH19" s="393"/>
      <c r="AI19" s="393"/>
      <c r="AJ19" s="398"/>
      <c r="AK19" s="392"/>
      <c r="AL19" s="393"/>
      <c r="AM19" s="393"/>
      <c r="AN19" s="393"/>
      <c r="AO19" s="393"/>
      <c r="AP19" s="399"/>
      <c r="AQ19" s="406"/>
      <c r="AR19" s="393"/>
      <c r="AS19" s="393"/>
      <c r="AT19" s="393"/>
      <c r="AU19" s="393"/>
      <c r="AV19" s="398"/>
      <c r="AW19" s="392"/>
      <c r="AX19" s="393"/>
      <c r="AY19" s="393"/>
      <c r="AZ19" s="393"/>
      <c r="BA19" s="393"/>
      <c r="BB19" s="399"/>
      <c r="BC19" s="406"/>
      <c r="BD19" s="393"/>
      <c r="BE19" s="393"/>
      <c r="BF19" s="393"/>
      <c r="BG19" s="393"/>
      <c r="BH19" s="398"/>
      <c r="BI19" s="392"/>
      <c r="BJ19" s="393"/>
      <c r="BK19" s="393"/>
      <c r="BL19" s="393"/>
      <c r="BM19" s="393"/>
      <c r="BN19" s="399"/>
      <c r="BO19" s="406"/>
      <c r="BP19" s="393"/>
      <c r="BQ19" s="393"/>
      <c r="BR19" s="393"/>
      <c r="BS19" s="393"/>
      <c r="BT19" s="398"/>
    </row>
    <row r="20" spans="1:72" x14ac:dyDescent="0.2">
      <c r="A20" s="401"/>
      <c r="B20" s="387"/>
      <c r="C20" s="387"/>
      <c r="D20" s="387"/>
      <c r="E20" s="387"/>
      <c r="F20" s="389"/>
      <c r="G20" s="407"/>
      <c r="H20" s="387"/>
      <c r="I20" s="387"/>
      <c r="J20" s="387"/>
      <c r="K20" s="387"/>
      <c r="L20" s="391"/>
      <c r="M20" s="401"/>
      <c r="N20" s="387"/>
      <c r="O20" s="387"/>
      <c r="P20" s="387"/>
      <c r="Q20" s="387"/>
      <c r="R20" s="389"/>
      <c r="S20" s="407"/>
      <c r="T20" s="387"/>
      <c r="U20" s="387"/>
      <c r="V20" s="387"/>
      <c r="W20" s="387"/>
      <c r="X20" s="391"/>
      <c r="Y20" s="401"/>
      <c r="Z20" s="387"/>
      <c r="AA20" s="387"/>
      <c r="AB20" s="387"/>
      <c r="AC20" s="387"/>
      <c r="AD20" s="389"/>
      <c r="AE20" s="407"/>
      <c r="AF20" s="387"/>
      <c r="AG20" s="387"/>
      <c r="AH20" s="387"/>
      <c r="AI20" s="387"/>
      <c r="AJ20" s="391"/>
      <c r="AK20" s="401"/>
      <c r="AL20" s="387"/>
      <c r="AM20" s="387"/>
      <c r="AN20" s="387"/>
      <c r="AO20" s="387"/>
      <c r="AP20" s="389"/>
      <c r="AQ20" s="405"/>
      <c r="AR20" s="387"/>
      <c r="AS20" s="387"/>
      <c r="AT20" s="387"/>
      <c r="AU20" s="387"/>
      <c r="AV20" s="391"/>
      <c r="AW20" s="401"/>
      <c r="AX20" s="387"/>
      <c r="AY20" s="387"/>
      <c r="AZ20" s="387"/>
      <c r="BA20" s="387"/>
      <c r="BB20" s="389"/>
      <c r="BC20" s="407"/>
      <c r="BD20" s="387"/>
      <c r="BE20" s="387"/>
      <c r="BF20" s="387"/>
      <c r="BG20" s="387"/>
      <c r="BH20" s="391"/>
      <c r="BI20" s="401"/>
      <c r="BJ20" s="387"/>
      <c r="BK20" s="387"/>
      <c r="BL20" s="387"/>
      <c r="BM20" s="387"/>
      <c r="BN20" s="389"/>
      <c r="BO20" s="407"/>
      <c r="BP20" s="387"/>
      <c r="BQ20" s="387"/>
      <c r="BR20" s="387"/>
      <c r="BS20" s="387"/>
      <c r="BT20" s="391"/>
    </row>
    <row r="21" spans="1:72" x14ac:dyDescent="0.2">
      <c r="A21" s="392"/>
      <c r="B21" s="393"/>
      <c r="C21" s="393"/>
      <c r="D21" s="393"/>
      <c r="E21" s="393"/>
      <c r="F21" s="396"/>
      <c r="G21" s="400"/>
      <c r="H21" s="393"/>
      <c r="I21" s="393"/>
      <c r="J21" s="393"/>
      <c r="K21" s="393"/>
      <c r="L21" s="398"/>
      <c r="M21" s="392"/>
      <c r="N21" s="393"/>
      <c r="O21" s="393"/>
      <c r="P21" s="393"/>
      <c r="Q21" s="393"/>
      <c r="R21" s="396"/>
      <c r="S21" s="400"/>
      <c r="T21" s="393"/>
      <c r="U21" s="393"/>
      <c r="V21" s="393"/>
      <c r="W21" s="393"/>
      <c r="X21" s="398"/>
      <c r="Y21" s="392"/>
      <c r="Z21" s="393"/>
      <c r="AA21" s="393"/>
      <c r="AB21" s="393"/>
      <c r="AC21" s="393"/>
      <c r="AD21" s="396"/>
      <c r="AE21" s="400"/>
      <c r="AF21" s="393"/>
      <c r="AG21" s="393"/>
      <c r="AH21" s="393"/>
      <c r="AI21" s="393"/>
      <c r="AJ21" s="398"/>
      <c r="AK21" s="392"/>
      <c r="AL21" s="393"/>
      <c r="AM21" s="393"/>
      <c r="AN21" s="393"/>
      <c r="AO21" s="393"/>
      <c r="AP21" s="396"/>
      <c r="AQ21" s="400"/>
      <c r="AR21" s="393"/>
      <c r="AS21" s="393"/>
      <c r="AT21" s="393"/>
      <c r="AU21" s="393"/>
      <c r="AV21" s="398"/>
      <c r="AW21" s="392"/>
      <c r="AX21" s="393"/>
      <c r="AY21" s="393"/>
      <c r="AZ21" s="393"/>
      <c r="BA21" s="393"/>
      <c r="BB21" s="396"/>
      <c r="BC21" s="400"/>
      <c r="BD21" s="393"/>
      <c r="BE21" s="393"/>
      <c r="BF21" s="393"/>
      <c r="BG21" s="393"/>
      <c r="BH21" s="398"/>
      <c r="BI21" s="392"/>
      <c r="BJ21" s="393"/>
      <c r="BK21" s="393"/>
      <c r="BL21" s="393"/>
      <c r="BM21" s="393"/>
      <c r="BN21" s="396"/>
      <c r="BO21" s="400"/>
      <c r="BP21" s="393"/>
      <c r="BQ21" s="393"/>
      <c r="BR21" s="393"/>
      <c r="BS21" s="393"/>
      <c r="BT21" s="398"/>
    </row>
    <row r="22" spans="1:72" x14ac:dyDescent="0.2">
      <c r="A22" s="401"/>
      <c r="B22" s="387"/>
      <c r="C22" s="387"/>
      <c r="D22" s="387"/>
      <c r="E22" s="387"/>
      <c r="F22" s="389"/>
      <c r="G22" s="390"/>
      <c r="H22" s="387"/>
      <c r="I22" s="387"/>
      <c r="J22" s="387"/>
      <c r="K22" s="387"/>
      <c r="L22" s="391"/>
      <c r="M22" s="401"/>
      <c r="N22" s="387"/>
      <c r="O22" s="387"/>
      <c r="P22" s="387"/>
      <c r="Q22" s="387"/>
      <c r="R22" s="389"/>
      <c r="S22" s="390"/>
      <c r="T22" s="387"/>
      <c r="U22" s="387"/>
      <c r="V22" s="387"/>
      <c r="W22" s="387"/>
      <c r="X22" s="391"/>
      <c r="Y22" s="401"/>
      <c r="Z22" s="387"/>
      <c r="AA22" s="387"/>
      <c r="AB22" s="387"/>
      <c r="AC22" s="387"/>
      <c r="AD22" s="389"/>
      <c r="AE22" s="390"/>
      <c r="AF22" s="387"/>
      <c r="AG22" s="387"/>
      <c r="AH22" s="387"/>
      <c r="AI22" s="387"/>
      <c r="AJ22" s="391"/>
      <c r="AK22" s="401"/>
      <c r="AL22" s="387"/>
      <c r="AM22" s="387"/>
      <c r="AN22" s="387"/>
      <c r="AO22" s="387"/>
      <c r="AP22" s="389"/>
      <c r="AQ22" s="390"/>
      <c r="AR22" s="387"/>
      <c r="AS22" s="387"/>
      <c r="AT22" s="387"/>
      <c r="AU22" s="387"/>
      <c r="AV22" s="391"/>
      <c r="AW22" s="401"/>
      <c r="AX22" s="387"/>
      <c r="AY22" s="387"/>
      <c r="AZ22" s="387"/>
      <c r="BA22" s="387"/>
      <c r="BB22" s="389"/>
      <c r="BC22" s="390"/>
      <c r="BD22" s="387"/>
      <c r="BE22" s="387"/>
      <c r="BF22" s="387"/>
      <c r="BG22" s="387"/>
      <c r="BH22" s="391"/>
      <c r="BI22" s="401"/>
      <c r="BJ22" s="387"/>
      <c r="BK22" s="387"/>
      <c r="BL22" s="387"/>
      <c r="BM22" s="387"/>
      <c r="BN22" s="389"/>
      <c r="BO22" s="390"/>
      <c r="BP22" s="387"/>
      <c r="BQ22" s="387"/>
      <c r="BR22" s="387"/>
      <c r="BS22" s="387"/>
      <c r="BT22" s="391"/>
    </row>
    <row r="23" spans="1:72" x14ac:dyDescent="0.2">
      <c r="A23" s="392"/>
      <c r="B23" s="393"/>
      <c r="C23" s="393"/>
      <c r="D23" s="393"/>
      <c r="E23" s="393"/>
      <c r="F23" s="399"/>
      <c r="G23" s="408"/>
      <c r="H23" s="393"/>
      <c r="I23" s="393"/>
      <c r="J23" s="393"/>
      <c r="K23" s="393"/>
      <c r="L23" s="398"/>
      <c r="M23" s="392"/>
      <c r="N23" s="393"/>
      <c r="O23" s="393"/>
      <c r="P23" s="393"/>
      <c r="Q23" s="393"/>
      <c r="R23" s="399"/>
      <c r="S23" s="408"/>
      <c r="T23" s="393"/>
      <c r="U23" s="393"/>
      <c r="V23" s="393"/>
      <c r="W23" s="393"/>
      <c r="X23" s="398"/>
      <c r="Y23" s="392"/>
      <c r="Z23" s="393"/>
      <c r="AA23" s="393"/>
      <c r="AB23" s="393"/>
      <c r="AC23" s="393"/>
      <c r="AD23" s="399"/>
      <c r="AE23" s="408"/>
      <c r="AF23" s="393"/>
      <c r="AG23" s="393"/>
      <c r="AH23" s="393"/>
      <c r="AI23" s="393"/>
      <c r="AJ23" s="398"/>
      <c r="AK23" s="392"/>
      <c r="AL23" s="393"/>
      <c r="AM23" s="393"/>
      <c r="AN23" s="393"/>
      <c r="AO23" s="393"/>
      <c r="AP23" s="399"/>
      <c r="AQ23" s="408"/>
      <c r="AR23" s="393"/>
      <c r="AS23" s="393"/>
      <c r="AT23" s="393"/>
      <c r="AU23" s="393"/>
      <c r="AV23" s="398"/>
      <c r="AW23" s="392"/>
      <c r="AX23" s="393"/>
      <c r="AY23" s="393"/>
      <c r="AZ23" s="393"/>
      <c r="BA23" s="393"/>
      <c r="BB23" s="399"/>
      <c r="BC23" s="408"/>
      <c r="BD23" s="393"/>
      <c r="BE23" s="393"/>
      <c r="BF23" s="393"/>
      <c r="BG23" s="393"/>
      <c r="BH23" s="398"/>
      <c r="BI23" s="392"/>
      <c r="BJ23" s="393"/>
      <c r="BK23" s="393"/>
      <c r="BL23" s="393"/>
      <c r="BM23" s="393"/>
      <c r="BN23" s="399"/>
      <c r="BO23" s="408"/>
      <c r="BP23" s="393"/>
      <c r="BQ23" s="393"/>
      <c r="BR23" s="393"/>
      <c r="BS23" s="393"/>
      <c r="BT23" s="398"/>
    </row>
    <row r="24" spans="1:72" x14ac:dyDescent="0.2">
      <c r="A24" s="401"/>
      <c r="B24" s="387"/>
      <c r="C24" s="387"/>
      <c r="D24" s="387"/>
      <c r="E24" s="387"/>
      <c r="F24" s="404"/>
      <c r="G24" s="390"/>
      <c r="H24" s="387"/>
      <c r="I24" s="387"/>
      <c r="J24" s="387"/>
      <c r="K24" s="387"/>
      <c r="L24" s="391"/>
      <c r="M24" s="401"/>
      <c r="N24" s="387"/>
      <c r="O24" s="387"/>
      <c r="P24" s="387"/>
      <c r="Q24" s="387"/>
      <c r="R24" s="404"/>
      <c r="S24" s="390"/>
      <c r="T24" s="387"/>
      <c r="U24" s="387"/>
      <c r="V24" s="387"/>
      <c r="W24" s="387"/>
      <c r="X24" s="391"/>
      <c r="Y24" s="401"/>
      <c r="Z24" s="387"/>
      <c r="AA24" s="387"/>
      <c r="AB24" s="387"/>
      <c r="AC24" s="387"/>
      <c r="AD24" s="404"/>
      <c r="AE24" s="390"/>
      <c r="AF24" s="387"/>
      <c r="AG24" s="387"/>
      <c r="AH24" s="387"/>
      <c r="AI24" s="387"/>
      <c r="AJ24" s="391"/>
      <c r="AK24" s="401"/>
      <c r="AL24" s="387"/>
      <c r="AM24" s="387"/>
      <c r="AN24" s="387"/>
      <c r="AO24" s="387"/>
      <c r="AP24" s="404"/>
      <c r="AQ24" s="390"/>
      <c r="AR24" s="387"/>
      <c r="AS24" s="387"/>
      <c r="AT24" s="387"/>
      <c r="AU24" s="387"/>
      <c r="AV24" s="391"/>
      <c r="AW24" s="401"/>
      <c r="AX24" s="387"/>
      <c r="AY24" s="387"/>
      <c r="AZ24" s="387"/>
      <c r="BA24" s="387"/>
      <c r="BB24" s="404"/>
      <c r="BC24" s="390"/>
      <c r="BD24" s="387"/>
      <c r="BE24" s="387"/>
      <c r="BF24" s="387"/>
      <c r="BG24" s="387"/>
      <c r="BH24" s="391"/>
      <c r="BI24" s="401"/>
      <c r="BJ24" s="387"/>
      <c r="BK24" s="387"/>
      <c r="BL24" s="387"/>
      <c r="BM24" s="387"/>
      <c r="BN24" s="404"/>
      <c r="BO24" s="390"/>
      <c r="BP24" s="387"/>
      <c r="BQ24" s="387"/>
      <c r="BR24" s="387"/>
      <c r="BS24" s="387"/>
      <c r="BT24" s="391"/>
    </row>
    <row r="25" spans="1:72" x14ac:dyDescent="0.2">
      <c r="A25" s="409" t="s">
        <v>2026</v>
      </c>
      <c r="F25" s="409" t="s">
        <v>2027</v>
      </c>
      <c r="L25" s="410" t="s">
        <v>2028</v>
      </c>
      <c r="M25" s="409" t="s">
        <v>2026</v>
      </c>
      <c r="O25" s="375"/>
      <c r="P25" s="375"/>
      <c r="R25" s="409" t="s">
        <v>2027</v>
      </c>
      <c r="X25" s="410" t="s">
        <v>2028</v>
      </c>
      <c r="Y25" s="409" t="s">
        <v>2026</v>
      </c>
      <c r="AA25" s="375"/>
      <c r="AB25" s="375"/>
      <c r="AD25" s="409" t="s">
        <v>2027</v>
      </c>
      <c r="AJ25" s="410" t="s">
        <v>2028</v>
      </c>
      <c r="AK25" s="409" t="s">
        <v>2026</v>
      </c>
      <c r="AM25" s="375"/>
      <c r="AN25" s="375"/>
      <c r="AP25" s="409" t="s">
        <v>2027</v>
      </c>
      <c r="AV25" s="410" t="s">
        <v>2028</v>
      </c>
      <c r="AW25" s="409" t="s">
        <v>2026</v>
      </c>
      <c r="AY25" s="375"/>
      <c r="AZ25" s="375"/>
      <c r="BB25" s="409" t="s">
        <v>2027</v>
      </c>
      <c r="BH25" s="410" t="s">
        <v>2028</v>
      </c>
      <c r="BI25" s="409" t="s">
        <v>2026</v>
      </c>
      <c r="BK25" s="375"/>
      <c r="BL25" s="375"/>
      <c r="BN25" s="409" t="s">
        <v>2027</v>
      </c>
      <c r="BT25" s="410" t="s">
        <v>2028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/>
  </sheetViews>
  <sheetFormatPr defaultRowHeight="12.75" x14ac:dyDescent="0.2"/>
  <sheetData>
    <row r="1" spans="1:7" x14ac:dyDescent="0.2">
      <c r="A1" s="411" t="s">
        <v>1150</v>
      </c>
      <c r="B1" s="411" t="s">
        <v>2029</v>
      </c>
      <c r="C1" s="411" t="s">
        <v>2030</v>
      </c>
      <c r="D1" s="411" t="s">
        <v>2031</v>
      </c>
      <c r="E1" s="411" t="s">
        <v>2032</v>
      </c>
      <c r="F1" s="411" t="s">
        <v>2033</v>
      </c>
      <c r="G1" s="411" t="s">
        <v>2034</v>
      </c>
    </row>
    <row r="2" spans="1:7" x14ac:dyDescent="0.2">
      <c r="A2" s="412" t="s">
        <v>2035</v>
      </c>
      <c r="B2" s="412" t="s">
        <v>2036</v>
      </c>
      <c r="C2" s="412" t="s">
        <v>2037</v>
      </c>
      <c r="D2" s="413">
        <v>528619</v>
      </c>
      <c r="E2" s="412" t="s">
        <v>2038</v>
      </c>
      <c r="F2" s="412" t="s">
        <v>2039</v>
      </c>
      <c r="G2" s="412" t="s">
        <v>2040</v>
      </c>
    </row>
    <row r="3" spans="1:7" x14ac:dyDescent="0.2">
      <c r="A3" s="412" t="s">
        <v>2041</v>
      </c>
      <c r="B3" s="412"/>
      <c r="C3" s="414" t="s">
        <v>2042</v>
      </c>
      <c r="D3" s="413">
        <v>528619</v>
      </c>
      <c r="E3" s="412" t="s">
        <v>2043</v>
      </c>
      <c r="F3" s="412">
        <v>194761</v>
      </c>
    </row>
    <row r="4" spans="1:7" x14ac:dyDescent="0.2">
      <c r="A4" s="412" t="s">
        <v>2044</v>
      </c>
      <c r="B4" s="412"/>
      <c r="C4" s="412" t="s">
        <v>2045</v>
      </c>
      <c r="D4" s="412" t="s">
        <v>2046</v>
      </c>
      <c r="E4" s="412" t="s">
        <v>2047</v>
      </c>
      <c r="F4" s="412">
        <v>322074</v>
      </c>
    </row>
    <row r="5" spans="1:7" x14ac:dyDescent="0.2">
      <c r="A5" s="415" t="s">
        <v>2048</v>
      </c>
      <c r="B5" s="412"/>
      <c r="C5" s="414" t="s">
        <v>2049</v>
      </c>
      <c r="D5" s="414" t="s">
        <v>2042</v>
      </c>
      <c r="E5" s="412" t="s">
        <v>2050</v>
      </c>
      <c r="F5" s="412" t="s">
        <v>2051</v>
      </c>
    </row>
    <row r="6" spans="1:7" x14ac:dyDescent="0.2">
      <c r="A6" s="415" t="s">
        <v>2052</v>
      </c>
      <c r="B6" s="412"/>
      <c r="C6" s="412" t="s">
        <v>2053</v>
      </c>
      <c r="D6" s="414" t="s">
        <v>2042</v>
      </c>
      <c r="E6" s="416">
        <v>37608</v>
      </c>
      <c r="F6" s="412">
        <v>1863149</v>
      </c>
    </row>
    <row r="7" spans="1:7" x14ac:dyDescent="0.2">
      <c r="A7" s="415" t="s">
        <v>2054</v>
      </c>
      <c r="B7" s="412"/>
      <c r="C7" s="414" t="s">
        <v>2055</v>
      </c>
      <c r="D7" s="412" t="s">
        <v>2045</v>
      </c>
      <c r="E7" s="412" t="s">
        <v>2056</v>
      </c>
      <c r="F7" s="412">
        <v>1993382</v>
      </c>
    </row>
    <row r="8" spans="1:7" x14ac:dyDescent="0.2">
      <c r="A8" s="412" t="s">
        <v>2057</v>
      </c>
      <c r="B8" s="412"/>
      <c r="C8" s="414" t="s">
        <v>2058</v>
      </c>
      <c r="D8" s="414" t="s">
        <v>2049</v>
      </c>
      <c r="E8" s="412" t="s">
        <v>2059</v>
      </c>
      <c r="F8" s="412" t="s">
        <v>2060</v>
      </c>
    </row>
    <row r="9" spans="1:7" x14ac:dyDescent="0.2">
      <c r="A9" s="412" t="s">
        <v>2061</v>
      </c>
      <c r="B9" s="412"/>
      <c r="C9" s="414" t="s">
        <v>2062</v>
      </c>
      <c r="D9" s="414" t="s">
        <v>2049</v>
      </c>
      <c r="E9" s="412" t="s">
        <v>2063</v>
      </c>
      <c r="F9" s="412" t="s">
        <v>2064</v>
      </c>
    </row>
    <row r="10" spans="1:7" x14ac:dyDescent="0.2">
      <c r="A10" s="412" t="s">
        <v>2065</v>
      </c>
      <c r="B10" s="412"/>
      <c r="C10" s="414" t="s">
        <v>2066</v>
      </c>
      <c r="D10" s="413">
        <v>1881153</v>
      </c>
      <c r="E10" s="412" t="s">
        <v>2067</v>
      </c>
      <c r="F10" s="412" t="s">
        <v>2068</v>
      </c>
    </row>
    <row r="11" spans="1:7" x14ac:dyDescent="0.2">
      <c r="A11" s="412"/>
      <c r="B11" s="412"/>
      <c r="C11" s="412" t="s">
        <v>2069</v>
      </c>
      <c r="D11" s="413">
        <v>1881153</v>
      </c>
      <c r="E11" s="412" t="s">
        <v>2070</v>
      </c>
    </row>
    <row r="12" spans="1:7" x14ac:dyDescent="0.2">
      <c r="A12" s="412"/>
      <c r="B12" s="412"/>
      <c r="C12" s="414" t="s">
        <v>2071</v>
      </c>
      <c r="D12" s="414" t="s">
        <v>2055</v>
      </c>
      <c r="E12" s="412" t="s">
        <v>2072</v>
      </c>
      <c r="F12" s="412"/>
    </row>
    <row r="13" spans="1:7" x14ac:dyDescent="0.2">
      <c r="A13" s="412"/>
      <c r="B13" s="412"/>
      <c r="C13" s="414" t="s">
        <v>2073</v>
      </c>
      <c r="D13" s="414" t="s">
        <v>2055</v>
      </c>
      <c r="E13" s="412" t="s">
        <v>2074</v>
      </c>
      <c r="F13" s="412"/>
    </row>
    <row r="14" spans="1:7" x14ac:dyDescent="0.2">
      <c r="A14" s="412"/>
      <c r="B14" s="412"/>
      <c r="C14" s="414" t="s">
        <v>2075</v>
      </c>
      <c r="D14" s="414" t="s">
        <v>2058</v>
      </c>
      <c r="E14" s="412" t="s">
        <v>2076</v>
      </c>
      <c r="F14" s="412"/>
    </row>
    <row r="15" spans="1:7" x14ac:dyDescent="0.2">
      <c r="A15" s="412"/>
      <c r="B15" s="412"/>
      <c r="C15" s="414" t="s">
        <v>2077</v>
      </c>
      <c r="D15" s="414" t="s">
        <v>2058</v>
      </c>
      <c r="E15" s="412" t="s">
        <v>2078</v>
      </c>
      <c r="F15" s="412"/>
    </row>
    <row r="16" spans="1:7" x14ac:dyDescent="0.2">
      <c r="A16" s="412"/>
      <c r="B16" s="412"/>
      <c r="C16" s="412" t="s">
        <v>2079</v>
      </c>
      <c r="D16" s="417" t="s">
        <v>2080</v>
      </c>
      <c r="E16" s="412" t="s">
        <v>2081</v>
      </c>
      <c r="F16" s="412"/>
    </row>
    <row r="17" spans="1:6" x14ac:dyDescent="0.2">
      <c r="A17" s="412"/>
      <c r="B17" s="412"/>
      <c r="C17" s="412" t="s">
        <v>2082</v>
      </c>
      <c r="D17" s="417" t="s">
        <v>2080</v>
      </c>
      <c r="E17" s="412" t="s">
        <v>2083</v>
      </c>
      <c r="F17" s="412"/>
    </row>
    <row r="18" spans="1:6" x14ac:dyDescent="0.2">
      <c r="A18" s="412"/>
      <c r="B18" s="412"/>
      <c r="C18" s="412" t="s">
        <v>2084</v>
      </c>
      <c r="D18" s="414" t="s">
        <v>2066</v>
      </c>
      <c r="E18" s="416">
        <v>46454</v>
      </c>
      <c r="F18" s="412"/>
    </row>
    <row r="19" spans="1:6" x14ac:dyDescent="0.2">
      <c r="A19" s="412"/>
      <c r="B19" s="412"/>
      <c r="C19" s="412" t="s">
        <v>2085</v>
      </c>
      <c r="D19" s="414" t="s">
        <v>2066</v>
      </c>
      <c r="E19" s="412" t="s">
        <v>2086</v>
      </c>
      <c r="F19" s="412"/>
    </row>
    <row r="20" spans="1:6" x14ac:dyDescent="0.2">
      <c r="A20" s="412"/>
      <c r="B20" s="412"/>
      <c r="C20" s="412" t="s">
        <v>2087</v>
      </c>
      <c r="D20" s="412" t="s">
        <v>2088</v>
      </c>
      <c r="E20" s="416">
        <v>46473</v>
      </c>
      <c r="F20" s="412"/>
    </row>
    <row r="21" spans="1:6" x14ac:dyDescent="0.2">
      <c r="A21" s="412"/>
      <c r="B21" s="412"/>
      <c r="C21" s="414" t="s">
        <v>2089</v>
      </c>
      <c r="D21" s="414" t="s">
        <v>2090</v>
      </c>
      <c r="E21" s="416">
        <v>46475</v>
      </c>
      <c r="F21" s="412"/>
    </row>
    <row r="22" spans="1:6" x14ac:dyDescent="0.2">
      <c r="A22" s="412"/>
      <c r="B22" s="412"/>
      <c r="C22" s="414" t="s">
        <v>2091</v>
      </c>
      <c r="D22" s="414" t="s">
        <v>2090</v>
      </c>
      <c r="E22" s="412" t="s">
        <v>2092</v>
      </c>
      <c r="F22" s="412"/>
    </row>
    <row r="23" spans="1:6" x14ac:dyDescent="0.2">
      <c r="A23" s="412"/>
      <c r="B23" s="412"/>
      <c r="C23" s="414" t="s">
        <v>2093</v>
      </c>
      <c r="D23" s="412" t="s">
        <v>2094</v>
      </c>
      <c r="E23" s="412" t="s">
        <v>2095</v>
      </c>
      <c r="F23" s="412"/>
    </row>
    <row r="24" spans="1:6" x14ac:dyDescent="0.2">
      <c r="A24" s="412"/>
      <c r="B24" s="412"/>
      <c r="C24" s="414" t="s">
        <v>2096</v>
      </c>
      <c r="D24" s="412" t="s">
        <v>2094</v>
      </c>
      <c r="E24" s="416">
        <v>46486</v>
      </c>
      <c r="F24" s="412"/>
    </row>
    <row r="25" spans="1:6" x14ac:dyDescent="0.2">
      <c r="A25" s="412"/>
      <c r="B25" s="412"/>
      <c r="C25" s="417" t="s">
        <v>2097</v>
      </c>
      <c r="D25" s="414" t="s">
        <v>2073</v>
      </c>
      <c r="E25" s="412" t="s">
        <v>2098</v>
      </c>
      <c r="F25" s="412"/>
    </row>
    <row r="26" spans="1:6" x14ac:dyDescent="0.2">
      <c r="A26" s="412"/>
      <c r="B26" s="412"/>
      <c r="C26" s="412" t="s">
        <v>2099</v>
      </c>
      <c r="D26" s="414" t="s">
        <v>2073</v>
      </c>
      <c r="E26" s="412" t="s">
        <v>2100</v>
      </c>
      <c r="F26" s="412"/>
    </row>
    <row r="27" spans="1:6" x14ac:dyDescent="0.2">
      <c r="A27" s="412"/>
      <c r="B27" s="412"/>
      <c r="C27" s="412" t="s">
        <v>2101</v>
      </c>
      <c r="D27" s="413" t="s">
        <v>2102</v>
      </c>
      <c r="E27" s="416">
        <v>46497</v>
      </c>
      <c r="F27" s="412"/>
    </row>
    <row r="28" spans="1:6" x14ac:dyDescent="0.2">
      <c r="A28" s="412"/>
      <c r="B28" s="412"/>
      <c r="C28" s="418" t="s">
        <v>2103</v>
      </c>
      <c r="D28" s="413" t="s">
        <v>2102</v>
      </c>
      <c r="E28" s="412" t="s">
        <v>2104</v>
      </c>
      <c r="F28" s="412"/>
    </row>
    <row r="29" spans="1:6" x14ac:dyDescent="0.2">
      <c r="A29" s="412"/>
      <c r="B29" s="412"/>
      <c r="C29" s="414" t="s">
        <v>2105</v>
      </c>
      <c r="D29" s="413" t="s">
        <v>2106</v>
      </c>
      <c r="E29" s="412" t="s">
        <v>2107</v>
      </c>
      <c r="F29" s="412"/>
    </row>
    <row r="30" spans="1:6" x14ac:dyDescent="0.2">
      <c r="A30" s="412"/>
      <c r="B30" s="412"/>
      <c r="C30" s="417" t="s">
        <v>2108</v>
      </c>
      <c r="D30" s="413" t="s">
        <v>2106</v>
      </c>
      <c r="E30" s="412" t="s">
        <v>2109</v>
      </c>
      <c r="F30" s="412"/>
    </row>
    <row r="31" spans="1:6" x14ac:dyDescent="0.2">
      <c r="A31" s="412"/>
      <c r="B31" s="412"/>
      <c r="C31" s="419"/>
      <c r="D31" s="414" t="s">
        <v>2079</v>
      </c>
      <c r="E31" s="416">
        <v>46558</v>
      </c>
      <c r="F31" s="412"/>
    </row>
    <row r="32" spans="1:6" x14ac:dyDescent="0.2">
      <c r="A32" s="412"/>
      <c r="B32" s="412"/>
      <c r="C32" s="419"/>
      <c r="D32" s="412" t="s">
        <v>2110</v>
      </c>
      <c r="E32" s="412" t="s">
        <v>2111</v>
      </c>
      <c r="F32" s="412"/>
    </row>
    <row r="33" spans="1:6" x14ac:dyDescent="0.2">
      <c r="A33" s="412"/>
      <c r="B33" s="412"/>
      <c r="C33" s="412"/>
      <c r="D33" s="412" t="s">
        <v>2082</v>
      </c>
      <c r="E33" s="412" t="s">
        <v>2112</v>
      </c>
      <c r="F33" s="412"/>
    </row>
    <row r="34" spans="1:6" x14ac:dyDescent="0.2">
      <c r="A34" s="412"/>
      <c r="B34" s="412"/>
      <c r="C34" s="412"/>
      <c r="D34" s="412" t="s">
        <v>2113</v>
      </c>
      <c r="E34" s="416">
        <v>46587</v>
      </c>
      <c r="F34" s="412"/>
    </row>
    <row r="35" spans="1:6" x14ac:dyDescent="0.2">
      <c r="A35" s="412"/>
      <c r="B35" s="412"/>
      <c r="C35" s="412"/>
      <c r="D35" s="412" t="s">
        <v>2114</v>
      </c>
      <c r="E35" s="412"/>
      <c r="F35" s="412"/>
    </row>
    <row r="36" spans="1:6" x14ac:dyDescent="0.2">
      <c r="A36" s="412"/>
      <c r="B36" s="412"/>
      <c r="C36" s="412"/>
      <c r="D36" s="412" t="s">
        <v>2115</v>
      </c>
      <c r="E36" s="412"/>
      <c r="F36" s="412"/>
    </row>
    <row r="37" spans="1:6" x14ac:dyDescent="0.2">
      <c r="A37" s="412"/>
      <c r="B37" s="412"/>
      <c r="C37" s="412"/>
      <c r="D37" s="412" t="s">
        <v>2116</v>
      </c>
      <c r="E37" s="412"/>
      <c r="F37" s="412"/>
    </row>
    <row r="38" spans="1:6" x14ac:dyDescent="0.2">
      <c r="A38" s="412"/>
      <c r="B38" s="412"/>
      <c r="C38" s="412"/>
      <c r="D38" s="412" t="s">
        <v>2087</v>
      </c>
      <c r="E38" s="412"/>
      <c r="F38" s="412"/>
    </row>
    <row r="39" spans="1:6" x14ac:dyDescent="0.2">
      <c r="A39" s="412"/>
      <c r="B39" s="412"/>
      <c r="C39" s="412"/>
      <c r="D39" s="414" t="s">
        <v>2117</v>
      </c>
      <c r="E39" s="412"/>
      <c r="F39" s="412"/>
    </row>
    <row r="40" spans="1:6" x14ac:dyDescent="0.2">
      <c r="A40" s="412"/>
      <c r="B40" s="412"/>
      <c r="C40" s="412"/>
      <c r="D40" s="414" t="s">
        <v>2117</v>
      </c>
      <c r="E40" s="412"/>
      <c r="F40" s="412"/>
    </row>
    <row r="41" spans="1:6" x14ac:dyDescent="0.2">
      <c r="A41" s="412"/>
      <c r="B41" s="412"/>
      <c r="C41" s="412"/>
      <c r="D41" s="414" t="s">
        <v>2091</v>
      </c>
      <c r="E41" s="412"/>
      <c r="F41" s="412"/>
    </row>
    <row r="42" spans="1:6" x14ac:dyDescent="0.2">
      <c r="A42" s="412"/>
      <c r="B42" s="412"/>
      <c r="C42" s="412"/>
      <c r="D42" s="414" t="s">
        <v>2091</v>
      </c>
      <c r="E42" s="412"/>
      <c r="F42" s="412"/>
    </row>
    <row r="43" spans="1:6" x14ac:dyDescent="0.2">
      <c r="A43" s="412"/>
      <c r="B43" s="412"/>
      <c r="C43" s="412"/>
      <c r="D43" s="414" t="s">
        <v>2093</v>
      </c>
      <c r="E43" s="412"/>
      <c r="F43" s="412"/>
    </row>
    <row r="44" spans="1:6" x14ac:dyDescent="0.2">
      <c r="A44" s="412"/>
      <c r="B44" s="412"/>
      <c r="C44" s="412"/>
      <c r="D44" s="414" t="s">
        <v>2093</v>
      </c>
      <c r="E44" s="412"/>
      <c r="F44" s="412"/>
    </row>
    <row r="45" spans="1:6" x14ac:dyDescent="0.2">
      <c r="A45" s="412"/>
      <c r="B45" s="412"/>
      <c r="C45" s="412"/>
      <c r="D45" s="414" t="s">
        <v>2096</v>
      </c>
      <c r="E45" s="412"/>
      <c r="F45" s="412"/>
    </row>
    <row r="46" spans="1:6" x14ac:dyDescent="0.2">
      <c r="A46" s="412"/>
      <c r="B46" s="412"/>
      <c r="C46" s="412"/>
      <c r="D46" s="414" t="s">
        <v>2096</v>
      </c>
      <c r="E46" s="412"/>
      <c r="F46" s="412"/>
    </row>
    <row r="47" spans="1:6" x14ac:dyDescent="0.2">
      <c r="A47" s="412"/>
      <c r="B47" s="412"/>
      <c r="C47" s="412"/>
      <c r="D47" s="417" t="s">
        <v>2118</v>
      </c>
      <c r="E47" s="412"/>
      <c r="F47" s="412"/>
    </row>
    <row r="48" spans="1:6" x14ac:dyDescent="0.2">
      <c r="A48" s="412"/>
      <c r="B48" s="412"/>
      <c r="C48" s="412"/>
      <c r="D48" s="417" t="s">
        <v>2118</v>
      </c>
      <c r="E48" s="412"/>
      <c r="F48" s="412"/>
    </row>
    <row r="49" spans="1:6" x14ac:dyDescent="0.2">
      <c r="A49" s="412"/>
      <c r="B49" s="412"/>
      <c r="C49" s="412"/>
      <c r="D49" s="412" t="s">
        <v>2119</v>
      </c>
      <c r="E49" s="412"/>
      <c r="F49" s="412"/>
    </row>
    <row r="50" spans="1:6" x14ac:dyDescent="0.2">
      <c r="A50" s="412"/>
      <c r="B50" s="412"/>
      <c r="C50" s="412"/>
      <c r="D50" s="413" t="s">
        <v>2120</v>
      </c>
      <c r="E50" s="412"/>
      <c r="F50" s="412"/>
    </row>
    <row r="51" spans="1:6" x14ac:dyDescent="0.2">
      <c r="A51" s="412"/>
      <c r="B51" s="412"/>
      <c r="C51" s="412"/>
      <c r="D51" s="418" t="s">
        <v>2103</v>
      </c>
      <c r="E51" s="412"/>
      <c r="F51" s="412"/>
    </row>
    <row r="52" spans="1:6" x14ac:dyDescent="0.2">
      <c r="A52" s="412"/>
      <c r="B52" s="412"/>
      <c r="C52" s="412"/>
      <c r="D52" s="418" t="s">
        <v>2103</v>
      </c>
      <c r="E52" s="412"/>
      <c r="F52" s="412"/>
    </row>
    <row r="53" spans="1:6" x14ac:dyDescent="0.2">
      <c r="A53" s="412"/>
      <c r="B53" s="412"/>
      <c r="C53" s="412"/>
      <c r="D53" s="417" t="s">
        <v>2121</v>
      </c>
      <c r="E53" s="412"/>
      <c r="F53" s="412"/>
    </row>
    <row r="54" spans="1:6" x14ac:dyDescent="0.2">
      <c r="A54" s="412"/>
      <c r="B54" s="412"/>
      <c r="C54" s="412"/>
      <c r="D54" s="414" t="s">
        <v>2105</v>
      </c>
      <c r="E54" s="412"/>
      <c r="F54" s="412"/>
    </row>
    <row r="55" spans="1:6" x14ac:dyDescent="0.2">
      <c r="A55" s="412"/>
      <c r="B55" s="412"/>
      <c r="C55" s="412"/>
      <c r="D55" s="414" t="s">
        <v>2105</v>
      </c>
      <c r="E55" s="412"/>
      <c r="F55" s="412"/>
    </row>
    <row r="56" spans="1:6" x14ac:dyDescent="0.2">
      <c r="A56" s="412"/>
      <c r="B56" s="412"/>
      <c r="C56" s="412"/>
      <c r="D56" s="414" t="s">
        <v>2122</v>
      </c>
      <c r="E56" s="412"/>
    </row>
    <row r="57" spans="1:6" x14ac:dyDescent="0.2">
      <c r="A57" s="412"/>
      <c r="B57" s="412"/>
      <c r="C57" s="412"/>
      <c r="D57" s="414" t="s">
        <v>2122</v>
      </c>
      <c r="E57" s="412"/>
    </row>
    <row r="58" spans="1:6" x14ac:dyDescent="0.2">
      <c r="A58" s="412"/>
      <c r="B58" s="412"/>
      <c r="C58" s="412"/>
      <c r="D58" s="412" t="s">
        <v>2123</v>
      </c>
      <c r="E58" s="412"/>
    </row>
    <row r="59" spans="1:6" x14ac:dyDescent="0.2">
      <c r="A59" s="412"/>
      <c r="B59" s="412"/>
      <c r="C59" s="412"/>
      <c r="D59" s="412" t="s">
        <v>2124</v>
      </c>
      <c r="E59" s="412"/>
    </row>
    <row r="60" spans="1:6" x14ac:dyDescent="0.2">
      <c r="A60" s="412"/>
      <c r="B60" s="412"/>
      <c r="C60" s="412"/>
      <c r="D60" s="412" t="s">
        <v>2125</v>
      </c>
      <c r="E60" s="412"/>
    </row>
    <row r="61" spans="1:6" x14ac:dyDescent="0.2">
      <c r="A61" s="412"/>
      <c r="B61" s="412"/>
      <c r="C61" s="412"/>
      <c r="D61" s="412" t="s">
        <v>2126</v>
      </c>
      <c r="E61" s="412"/>
    </row>
    <row r="62" spans="1:6" x14ac:dyDescent="0.2">
      <c r="A62" s="412"/>
      <c r="B62" s="412"/>
      <c r="C62" s="412"/>
      <c r="D62" s="412" t="s">
        <v>2127</v>
      </c>
      <c r="E62" s="412"/>
    </row>
    <row r="63" spans="1:6" x14ac:dyDescent="0.2">
      <c r="A63" s="412"/>
      <c r="B63" s="412"/>
      <c r="C63" s="412"/>
      <c r="D63" s="412" t="s">
        <v>2128</v>
      </c>
      <c r="E63" s="412"/>
    </row>
    <row r="64" spans="1:6" x14ac:dyDescent="0.2">
      <c r="A64" s="412"/>
      <c r="B64" s="412"/>
      <c r="C64" s="412"/>
      <c r="D64" s="416" t="s">
        <v>2129</v>
      </c>
      <c r="E64" s="412"/>
    </row>
    <row r="65" spans="1:5" x14ac:dyDescent="0.2">
      <c r="A65" s="412"/>
      <c r="B65" s="412"/>
      <c r="C65" s="412"/>
      <c r="D65" s="412"/>
      <c r="E65" s="412"/>
    </row>
    <row r="66" spans="1:5" x14ac:dyDescent="0.2">
      <c r="A66" s="412"/>
      <c r="B66" s="412"/>
      <c r="C66" s="412"/>
      <c r="D66" s="412"/>
      <c r="E66" s="412"/>
    </row>
    <row r="67" spans="1:5" x14ac:dyDescent="0.2">
      <c r="A67" s="412"/>
      <c r="B67" s="412"/>
      <c r="C67" s="412"/>
      <c r="D67" s="412"/>
      <c r="E67" s="412"/>
    </row>
    <row r="68" spans="1:5" x14ac:dyDescent="0.2">
      <c r="A68" s="412"/>
      <c r="B68" s="412"/>
      <c r="C68" s="412"/>
      <c r="D68" s="412"/>
      <c r="E68" s="412"/>
    </row>
    <row r="69" spans="1:5" x14ac:dyDescent="0.2">
      <c r="A69" s="420" t="s">
        <v>2130</v>
      </c>
      <c r="B69" s="412"/>
      <c r="C69" s="412"/>
      <c r="D69" s="412"/>
      <c r="E69" s="4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2.75" x14ac:dyDescent="0.2"/>
  <sheetData>
    <row r="1" spans="1:7" x14ac:dyDescent="0.2">
      <c r="A1" s="421" t="s">
        <v>1954</v>
      </c>
      <c r="B1" s="421" t="s">
        <v>1955</v>
      </c>
      <c r="C1" s="421" t="s">
        <v>2</v>
      </c>
      <c r="D1" s="421" t="s">
        <v>9</v>
      </c>
      <c r="E1" s="421" t="s">
        <v>2131</v>
      </c>
      <c r="F1" s="421" t="s">
        <v>11</v>
      </c>
      <c r="G1" s="421" t="s">
        <v>2132</v>
      </c>
    </row>
    <row r="2" spans="1:7" x14ac:dyDescent="0.2">
      <c r="A2" t="s">
        <v>2133</v>
      </c>
      <c r="B2" t="s">
        <v>808</v>
      </c>
      <c r="C2" t="s">
        <v>2134</v>
      </c>
      <c r="D2" t="s">
        <v>2135</v>
      </c>
      <c r="E2" t="s">
        <v>2136</v>
      </c>
      <c r="F2" t="s">
        <v>2137</v>
      </c>
    </row>
    <row r="3" spans="1:7" x14ac:dyDescent="0.2">
      <c r="A3" t="s">
        <v>2138</v>
      </c>
      <c r="C3" t="s">
        <v>2139</v>
      </c>
      <c r="D3" t="s">
        <v>2140</v>
      </c>
      <c r="E3" t="s">
        <v>2141</v>
      </c>
      <c r="F3" t="s">
        <v>2142</v>
      </c>
    </row>
    <row r="4" spans="1:7" x14ac:dyDescent="0.2">
      <c r="A4" t="s">
        <v>2143</v>
      </c>
      <c r="B4" t="s">
        <v>652</v>
      </c>
      <c r="C4" t="s">
        <v>2144</v>
      </c>
      <c r="D4" t="s">
        <v>2145</v>
      </c>
      <c r="E4" t="s">
        <v>2146</v>
      </c>
      <c r="F4" t="s">
        <v>2147</v>
      </c>
    </row>
    <row r="5" spans="1:7" x14ac:dyDescent="0.2">
      <c r="A5" s="422" t="s">
        <v>1588</v>
      </c>
      <c r="B5" s="422" t="s">
        <v>1588</v>
      </c>
      <c r="F5" t="s">
        <v>2148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7"/>
  <sheetViews>
    <sheetView workbookViewId="0"/>
  </sheetViews>
  <sheetFormatPr defaultRowHeight="12.75" x14ac:dyDescent="0.2"/>
  <sheetData>
    <row r="1" spans="1:19" ht="66.75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2149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2150</v>
      </c>
      <c r="K1" s="4" t="s">
        <v>9</v>
      </c>
      <c r="L1" s="4" t="s">
        <v>2151</v>
      </c>
      <c r="M1" s="4" t="s">
        <v>2152</v>
      </c>
      <c r="N1" s="4" t="s">
        <v>10</v>
      </c>
      <c r="O1" s="4" t="s">
        <v>2153</v>
      </c>
      <c r="P1" s="4" t="s">
        <v>2154</v>
      </c>
      <c r="Q1" s="4" t="s">
        <v>11</v>
      </c>
      <c r="R1" s="4" t="s">
        <v>2155</v>
      </c>
      <c r="S1" s="4" t="s">
        <v>2156</v>
      </c>
    </row>
    <row r="2" spans="1:19" ht="15" x14ac:dyDescent="0.25">
      <c r="A2" s="14" t="s">
        <v>12</v>
      </c>
      <c r="B2" s="15" t="s">
        <v>13</v>
      </c>
      <c r="C2" s="14" t="s">
        <v>14</v>
      </c>
      <c r="D2" s="16">
        <v>1</v>
      </c>
      <c r="E2" s="16" t="s">
        <v>2157</v>
      </c>
      <c r="F2" s="17" t="s">
        <v>15</v>
      </c>
      <c r="G2" s="18" t="s">
        <v>16</v>
      </c>
      <c r="H2" s="17" t="s">
        <v>17</v>
      </c>
      <c r="I2" s="19" t="s">
        <v>14</v>
      </c>
      <c r="J2" s="14" t="s">
        <v>18</v>
      </c>
      <c r="K2" s="20" t="s">
        <v>19</v>
      </c>
      <c r="L2" s="423" t="s">
        <v>2158</v>
      </c>
      <c r="M2" s="14" t="s">
        <v>20</v>
      </c>
      <c r="N2" s="14" t="s">
        <v>21</v>
      </c>
      <c r="O2" s="423" t="s">
        <v>2159</v>
      </c>
      <c r="P2" s="14" t="s">
        <v>22</v>
      </c>
      <c r="Q2" s="14" t="s">
        <v>23</v>
      </c>
      <c r="R2" s="423" t="s">
        <v>2160</v>
      </c>
      <c r="S2" s="15" t="s">
        <v>24</v>
      </c>
    </row>
    <row r="3" spans="1:19" ht="15" x14ac:dyDescent="0.25">
      <c r="A3" s="14" t="s">
        <v>12</v>
      </c>
      <c r="B3" s="15" t="s">
        <v>13</v>
      </c>
      <c r="C3" s="14" t="s">
        <v>14</v>
      </c>
      <c r="D3" s="16">
        <v>3</v>
      </c>
      <c r="E3" s="16" t="s">
        <v>2161</v>
      </c>
      <c r="F3" s="17" t="s">
        <v>34</v>
      </c>
      <c r="G3" s="43" t="s">
        <v>35</v>
      </c>
      <c r="H3" s="17" t="s">
        <v>36</v>
      </c>
      <c r="I3" s="19" t="s">
        <v>14</v>
      </c>
      <c r="J3" s="21" t="s">
        <v>37</v>
      </c>
      <c r="K3" s="20" t="s">
        <v>19</v>
      </c>
      <c r="L3" s="423" t="s">
        <v>2158</v>
      </c>
      <c r="M3" s="20" t="s">
        <v>38</v>
      </c>
      <c r="N3" s="14" t="s">
        <v>21</v>
      </c>
      <c r="O3" s="423" t="s">
        <v>2159</v>
      </c>
      <c r="P3" s="21" t="s">
        <v>39</v>
      </c>
      <c r="Q3" s="15" t="s">
        <v>23</v>
      </c>
      <c r="R3" s="423" t="s">
        <v>2160</v>
      </c>
      <c r="S3" s="15" t="s">
        <v>40</v>
      </c>
    </row>
    <row r="4" spans="1:19" ht="15" x14ac:dyDescent="0.25">
      <c r="A4" s="27" t="s">
        <v>12</v>
      </c>
      <c r="B4" s="30" t="s">
        <v>13</v>
      </c>
      <c r="C4" s="27" t="s">
        <v>14</v>
      </c>
      <c r="D4" s="35">
        <v>4</v>
      </c>
      <c r="E4" s="35" t="s">
        <v>2162</v>
      </c>
      <c r="F4" s="45" t="s">
        <v>44</v>
      </c>
      <c r="G4" s="46" t="s">
        <v>45</v>
      </c>
      <c r="H4" s="45" t="s">
        <v>36</v>
      </c>
      <c r="I4" s="29" t="s">
        <v>14</v>
      </c>
      <c r="J4" s="27" t="s">
        <v>46</v>
      </c>
      <c r="K4" s="47" t="s">
        <v>19</v>
      </c>
      <c r="L4" s="423" t="s">
        <v>2163</v>
      </c>
      <c r="M4" s="47" t="s">
        <v>47</v>
      </c>
      <c r="N4" s="27" t="s">
        <v>21</v>
      </c>
      <c r="O4" s="423" t="s">
        <v>2159</v>
      </c>
      <c r="P4" s="27" t="s">
        <v>48</v>
      </c>
      <c r="Q4" s="30" t="s">
        <v>23</v>
      </c>
      <c r="R4" s="423" t="s">
        <v>2160</v>
      </c>
      <c r="S4" s="25" t="s">
        <v>49</v>
      </c>
    </row>
    <row r="5" spans="1:19" ht="15" x14ac:dyDescent="0.25">
      <c r="A5" s="27" t="s">
        <v>12</v>
      </c>
      <c r="B5" s="30" t="s">
        <v>13</v>
      </c>
      <c r="C5" s="27" t="s">
        <v>14</v>
      </c>
      <c r="D5" s="35">
        <v>5</v>
      </c>
      <c r="E5" s="35" t="s">
        <v>2164</v>
      </c>
      <c r="F5" s="45" t="s">
        <v>53</v>
      </c>
      <c r="G5" s="50" t="s">
        <v>54</v>
      </c>
      <c r="H5" s="45" t="s">
        <v>55</v>
      </c>
      <c r="I5" s="29" t="s">
        <v>14</v>
      </c>
      <c r="J5" s="27" t="s">
        <v>56</v>
      </c>
      <c r="K5" s="47" t="s">
        <v>19</v>
      </c>
      <c r="L5" s="423" t="s">
        <v>2163</v>
      </c>
      <c r="M5" s="27" t="s">
        <v>57</v>
      </c>
      <c r="N5" s="27" t="s">
        <v>58</v>
      </c>
      <c r="O5" s="423" t="s">
        <v>2165</v>
      </c>
      <c r="P5" s="27" t="s">
        <v>59</v>
      </c>
      <c r="Q5" s="27" t="s">
        <v>23</v>
      </c>
      <c r="R5" s="423" t="s">
        <v>2160</v>
      </c>
      <c r="S5" s="51" t="s">
        <v>60</v>
      </c>
    </row>
    <row r="6" spans="1:19" ht="15" x14ac:dyDescent="0.25">
      <c r="A6" s="27" t="s">
        <v>12</v>
      </c>
      <c r="B6" s="30" t="s">
        <v>13</v>
      </c>
      <c r="C6" s="27" t="s">
        <v>14</v>
      </c>
      <c r="D6" s="53">
        <v>6</v>
      </c>
      <c r="E6" s="53" t="s">
        <v>2161</v>
      </c>
      <c r="F6" s="45" t="s">
        <v>34</v>
      </c>
      <c r="G6" s="50" t="s">
        <v>62</v>
      </c>
      <c r="H6" s="45" t="s">
        <v>63</v>
      </c>
      <c r="I6" s="29" t="s">
        <v>14</v>
      </c>
      <c r="J6" s="47" t="s">
        <v>64</v>
      </c>
      <c r="K6" s="47" t="s">
        <v>19</v>
      </c>
      <c r="L6" s="423" t="s">
        <v>2166</v>
      </c>
      <c r="M6" s="47" t="s">
        <v>65</v>
      </c>
      <c r="N6" s="27" t="s">
        <v>21</v>
      </c>
      <c r="O6" s="423" t="s">
        <v>2159</v>
      </c>
      <c r="P6" s="27" t="s">
        <v>66</v>
      </c>
      <c r="Q6" s="30" t="s">
        <v>23</v>
      </c>
      <c r="R6" s="423" t="s">
        <v>2160</v>
      </c>
      <c r="S6" s="25" t="s">
        <v>67</v>
      </c>
    </row>
    <row r="7" spans="1:19" ht="15" x14ac:dyDescent="0.25">
      <c r="A7" s="27" t="s">
        <v>12</v>
      </c>
      <c r="B7" s="30" t="s">
        <v>13</v>
      </c>
      <c r="C7" s="27" t="s">
        <v>14</v>
      </c>
      <c r="D7" s="35">
        <v>7</v>
      </c>
      <c r="E7" s="35" t="s">
        <v>2161</v>
      </c>
      <c r="F7" s="55" t="s">
        <v>34</v>
      </c>
      <c r="G7" s="55" t="s">
        <v>71</v>
      </c>
      <c r="H7" s="55" t="s">
        <v>72</v>
      </c>
      <c r="I7" s="29" t="s">
        <v>14</v>
      </c>
      <c r="J7" s="27" t="s">
        <v>73</v>
      </c>
      <c r="K7" s="27" t="s">
        <v>74</v>
      </c>
      <c r="L7" s="423" t="s">
        <v>2167</v>
      </c>
      <c r="M7" s="29" t="s">
        <v>75</v>
      </c>
      <c r="N7" s="27" t="s">
        <v>58</v>
      </c>
      <c r="O7" s="423" t="s">
        <v>2165</v>
      </c>
      <c r="P7" s="27" t="s">
        <v>76</v>
      </c>
      <c r="Q7" s="27" t="s">
        <v>23</v>
      </c>
      <c r="R7" s="423" t="s">
        <v>2160</v>
      </c>
      <c r="S7" s="25" t="s">
        <v>77</v>
      </c>
    </row>
    <row r="8" spans="1:19" ht="15" x14ac:dyDescent="0.25">
      <c r="A8" s="27" t="s">
        <v>12</v>
      </c>
      <c r="B8" s="30" t="s">
        <v>13</v>
      </c>
      <c r="C8" s="27" t="s">
        <v>14</v>
      </c>
      <c r="D8" s="35">
        <v>8</v>
      </c>
      <c r="E8" s="35" t="s">
        <v>2161</v>
      </c>
      <c r="F8" s="55" t="s">
        <v>79</v>
      </c>
      <c r="G8" s="46" t="s">
        <v>80</v>
      </c>
      <c r="H8" s="55" t="s">
        <v>81</v>
      </c>
      <c r="I8" s="24" t="s">
        <v>14</v>
      </c>
      <c r="J8" s="30" t="s">
        <v>82</v>
      </c>
      <c r="K8" s="59" t="s">
        <v>19</v>
      </c>
      <c r="L8" s="423" t="s">
        <v>2168</v>
      </c>
      <c r="M8" s="60" t="s">
        <v>83</v>
      </c>
      <c r="N8" s="30" t="s">
        <v>21</v>
      </c>
      <c r="O8" s="423" t="s">
        <v>2159</v>
      </c>
      <c r="P8" s="30" t="s">
        <v>84</v>
      </c>
      <c r="Q8" s="30" t="s">
        <v>23</v>
      </c>
      <c r="R8" s="423" t="s">
        <v>2160</v>
      </c>
      <c r="S8" s="30" t="s">
        <v>85</v>
      </c>
    </row>
    <row r="9" spans="1:19" ht="15" x14ac:dyDescent="0.25">
      <c r="A9" s="27" t="s">
        <v>87</v>
      </c>
      <c r="B9" s="52" t="s">
        <v>13</v>
      </c>
      <c r="C9" s="27" t="s">
        <v>14</v>
      </c>
      <c r="D9" s="35">
        <v>9</v>
      </c>
      <c r="E9" s="35" t="s">
        <v>2169</v>
      </c>
      <c r="F9" s="45" t="s">
        <v>88</v>
      </c>
      <c r="G9" s="50" t="s">
        <v>89</v>
      </c>
      <c r="H9" s="45" t="s">
        <v>90</v>
      </c>
      <c r="I9" s="29" t="s">
        <v>14</v>
      </c>
      <c r="J9" s="27" t="s">
        <v>91</v>
      </c>
      <c r="K9" s="47" t="s">
        <v>92</v>
      </c>
      <c r="L9" s="423" t="s">
        <v>2170</v>
      </c>
      <c r="M9" s="27" t="s">
        <v>93</v>
      </c>
      <c r="N9" s="27" t="s">
        <v>21</v>
      </c>
      <c r="O9" s="423" t="s">
        <v>2159</v>
      </c>
      <c r="P9" s="27" t="s">
        <v>94</v>
      </c>
      <c r="Q9" s="27" t="s">
        <v>23</v>
      </c>
      <c r="R9" s="423" t="s">
        <v>2160</v>
      </c>
      <c r="S9" s="30" t="s">
        <v>95</v>
      </c>
    </row>
    <row r="10" spans="1:19" ht="15" x14ac:dyDescent="0.25">
      <c r="A10" s="27" t="s">
        <v>12</v>
      </c>
      <c r="B10" s="52" t="s">
        <v>13</v>
      </c>
      <c r="C10" s="27" t="s">
        <v>14</v>
      </c>
      <c r="D10" s="35">
        <v>10</v>
      </c>
      <c r="E10" s="35" t="s">
        <v>2162</v>
      </c>
      <c r="F10" s="45" t="s">
        <v>44</v>
      </c>
      <c r="G10" s="50" t="s">
        <v>97</v>
      </c>
      <c r="H10" s="45" t="s">
        <v>98</v>
      </c>
      <c r="I10" s="47" t="s">
        <v>14</v>
      </c>
      <c r="J10" s="47" t="s">
        <v>99</v>
      </c>
      <c r="K10" s="47" t="s">
        <v>19</v>
      </c>
      <c r="L10" s="423" t="s">
        <v>2171</v>
      </c>
      <c r="M10" s="47">
        <v>525138</v>
      </c>
      <c r="N10" s="47" t="s">
        <v>21</v>
      </c>
      <c r="O10" s="423" t="s">
        <v>2159</v>
      </c>
      <c r="P10" s="47">
        <v>439351</v>
      </c>
      <c r="Q10" s="30" t="s">
        <v>23</v>
      </c>
      <c r="R10" s="423" t="s">
        <v>2160</v>
      </c>
      <c r="S10" s="25" t="s">
        <v>100</v>
      </c>
    </row>
    <row r="11" spans="1:19" ht="15" x14ac:dyDescent="0.25">
      <c r="A11" s="27" t="s">
        <v>12</v>
      </c>
      <c r="B11" s="52" t="s">
        <v>13</v>
      </c>
      <c r="C11" s="27" t="s">
        <v>14</v>
      </c>
      <c r="D11" s="35">
        <v>11</v>
      </c>
      <c r="E11" s="35" t="s">
        <v>2169</v>
      </c>
      <c r="F11" s="55" t="s">
        <v>88</v>
      </c>
      <c r="G11" s="55" t="s">
        <v>103</v>
      </c>
      <c r="H11" s="55" t="s">
        <v>104</v>
      </c>
      <c r="I11" s="29" t="s">
        <v>14</v>
      </c>
      <c r="J11" s="27" t="s">
        <v>105</v>
      </c>
      <c r="K11" s="47" t="s">
        <v>19</v>
      </c>
      <c r="L11" s="423" t="s">
        <v>2171</v>
      </c>
      <c r="M11" s="27" t="s">
        <v>106</v>
      </c>
      <c r="N11" s="27" t="s">
        <v>21</v>
      </c>
      <c r="O11" s="423" t="s">
        <v>2159</v>
      </c>
      <c r="P11" s="27" t="s">
        <v>107</v>
      </c>
      <c r="Q11" s="27" t="s">
        <v>23</v>
      </c>
      <c r="R11" s="423" t="s">
        <v>2160</v>
      </c>
      <c r="S11" s="30" t="s">
        <v>108</v>
      </c>
    </row>
    <row r="12" spans="1:19" ht="15" x14ac:dyDescent="0.25">
      <c r="A12" s="27" t="s">
        <v>12</v>
      </c>
      <c r="B12" s="52" t="s">
        <v>13</v>
      </c>
      <c r="C12" s="27" t="s">
        <v>14</v>
      </c>
      <c r="D12" s="78">
        <v>12</v>
      </c>
      <c r="E12" s="78" t="s">
        <v>2161</v>
      </c>
      <c r="F12" s="79" t="s">
        <v>79</v>
      </c>
      <c r="G12" s="50" t="s">
        <v>110</v>
      </c>
      <c r="H12" s="45" t="s">
        <v>111</v>
      </c>
      <c r="I12" s="29" t="s">
        <v>14</v>
      </c>
      <c r="J12" s="29" t="s">
        <v>112</v>
      </c>
      <c r="K12" s="29" t="s">
        <v>19</v>
      </c>
      <c r="L12" s="423" t="s">
        <v>2172</v>
      </c>
      <c r="M12" s="29">
        <v>518624</v>
      </c>
      <c r="N12" s="29" t="s">
        <v>58</v>
      </c>
      <c r="O12" s="423" t="s">
        <v>2165</v>
      </c>
      <c r="P12" s="48" t="s">
        <v>113</v>
      </c>
      <c r="Q12" s="27" t="s">
        <v>23</v>
      </c>
      <c r="R12" s="423" t="s">
        <v>2160</v>
      </c>
      <c r="S12" s="25" t="s">
        <v>114</v>
      </c>
    </row>
    <row r="13" spans="1:19" ht="15" x14ac:dyDescent="0.25">
      <c r="A13" s="14" t="s">
        <v>12</v>
      </c>
      <c r="B13" s="83" t="s">
        <v>13</v>
      </c>
      <c r="C13" s="14" t="s">
        <v>14</v>
      </c>
      <c r="D13" s="84">
        <v>14</v>
      </c>
      <c r="E13" s="84" t="s">
        <v>2169</v>
      </c>
      <c r="F13" s="85" t="s">
        <v>88</v>
      </c>
      <c r="G13" s="43" t="s">
        <v>128</v>
      </c>
      <c r="H13" s="17" t="s">
        <v>129</v>
      </c>
      <c r="I13" s="19" t="s">
        <v>14</v>
      </c>
      <c r="J13" s="21" t="s">
        <v>130</v>
      </c>
      <c r="K13" s="20" t="s">
        <v>19</v>
      </c>
      <c r="L13" s="423" t="s">
        <v>2172</v>
      </c>
      <c r="M13" s="21" t="s">
        <v>131</v>
      </c>
      <c r="N13" s="14" t="s">
        <v>21</v>
      </c>
      <c r="O13" s="423" t="s">
        <v>2159</v>
      </c>
      <c r="P13" s="21" t="s">
        <v>132</v>
      </c>
      <c r="Q13" s="22" t="s">
        <v>23</v>
      </c>
      <c r="R13" s="423" t="s">
        <v>2160</v>
      </c>
      <c r="S13" s="15" t="s">
        <v>133</v>
      </c>
    </row>
    <row r="14" spans="1:19" ht="15" x14ac:dyDescent="0.25">
      <c r="A14" s="27" t="s">
        <v>12</v>
      </c>
      <c r="B14" s="52" t="s">
        <v>13</v>
      </c>
      <c r="C14" s="27" t="s">
        <v>14</v>
      </c>
      <c r="D14" s="78">
        <v>15</v>
      </c>
      <c r="E14" s="78" t="s">
        <v>2169</v>
      </c>
      <c r="F14" s="79" t="s">
        <v>88</v>
      </c>
      <c r="G14" s="46" t="s">
        <v>135</v>
      </c>
      <c r="H14" s="45" t="s">
        <v>129</v>
      </c>
      <c r="I14" s="29" t="s">
        <v>14</v>
      </c>
      <c r="J14" s="48" t="s">
        <v>136</v>
      </c>
      <c r="K14" s="47" t="s">
        <v>19</v>
      </c>
      <c r="L14" s="423" t="s">
        <v>2173</v>
      </c>
      <c r="M14" s="48" t="s">
        <v>137</v>
      </c>
      <c r="N14" s="27" t="s">
        <v>21</v>
      </c>
      <c r="O14" s="423" t="s">
        <v>2159</v>
      </c>
      <c r="P14" s="48" t="s">
        <v>138</v>
      </c>
      <c r="Q14" s="27" t="s">
        <v>139</v>
      </c>
      <c r="R14" s="423" t="s">
        <v>2174</v>
      </c>
      <c r="S14" s="40">
        <v>4072</v>
      </c>
    </row>
    <row r="15" spans="1:19" ht="15" x14ac:dyDescent="0.25">
      <c r="A15" s="27" t="s">
        <v>12</v>
      </c>
      <c r="B15" s="52" t="s">
        <v>13</v>
      </c>
      <c r="C15" s="27" t="s">
        <v>14</v>
      </c>
      <c r="D15" s="78">
        <v>16</v>
      </c>
      <c r="E15" s="78" t="s">
        <v>2169</v>
      </c>
      <c r="F15" s="79" t="s">
        <v>88</v>
      </c>
      <c r="G15" s="88" t="s">
        <v>142</v>
      </c>
      <c r="H15" s="45" t="s">
        <v>143</v>
      </c>
      <c r="I15" s="29" t="s">
        <v>14</v>
      </c>
      <c r="J15" s="48" t="s">
        <v>144</v>
      </c>
      <c r="K15" s="47" t="s">
        <v>19</v>
      </c>
      <c r="L15" s="423" t="s">
        <v>2173</v>
      </c>
      <c r="M15" s="48" t="s">
        <v>145</v>
      </c>
      <c r="N15" s="27" t="s">
        <v>21</v>
      </c>
      <c r="O15" s="423" t="s">
        <v>2159</v>
      </c>
      <c r="P15" s="48" t="s">
        <v>146</v>
      </c>
      <c r="Q15" s="48" t="s">
        <v>23</v>
      </c>
      <c r="R15" s="423" t="s">
        <v>2160</v>
      </c>
      <c r="S15" s="25" t="s">
        <v>147</v>
      </c>
    </row>
    <row r="16" spans="1:19" ht="15" x14ac:dyDescent="0.25">
      <c r="A16" s="27" t="s">
        <v>12</v>
      </c>
      <c r="B16" s="52" t="s">
        <v>13</v>
      </c>
      <c r="C16" s="27" t="s">
        <v>14</v>
      </c>
      <c r="D16" s="53">
        <v>17</v>
      </c>
      <c r="E16" s="53" t="s">
        <v>2162</v>
      </c>
      <c r="F16" s="89" t="s">
        <v>44</v>
      </c>
      <c r="G16" s="88" t="s">
        <v>149</v>
      </c>
      <c r="H16" s="45" t="s">
        <v>150</v>
      </c>
      <c r="I16" s="29" t="s">
        <v>14</v>
      </c>
      <c r="J16" s="90" t="s">
        <v>151</v>
      </c>
      <c r="K16" s="47" t="s">
        <v>19</v>
      </c>
      <c r="L16" s="423" t="s">
        <v>2175</v>
      </c>
      <c r="M16" s="27" t="s">
        <v>152</v>
      </c>
      <c r="N16" s="27" t="s">
        <v>21</v>
      </c>
      <c r="O16" s="423" t="s">
        <v>2159</v>
      </c>
      <c r="P16" s="27" t="s">
        <v>153</v>
      </c>
      <c r="Q16" s="27" t="s">
        <v>23</v>
      </c>
      <c r="R16" s="423" t="s">
        <v>2160</v>
      </c>
      <c r="S16" s="40">
        <v>6543972</v>
      </c>
    </row>
    <row r="17" spans="1:19" ht="15" x14ac:dyDescent="0.25">
      <c r="A17" s="27" t="s">
        <v>12</v>
      </c>
      <c r="B17" s="52" t="s">
        <v>13</v>
      </c>
      <c r="C17" s="27" t="s">
        <v>14</v>
      </c>
      <c r="D17" s="53">
        <v>18</v>
      </c>
      <c r="E17" s="53" t="s">
        <v>2161</v>
      </c>
      <c r="F17" s="92" t="s">
        <v>34</v>
      </c>
      <c r="G17" s="55" t="s">
        <v>156</v>
      </c>
      <c r="H17" s="45" t="s">
        <v>157</v>
      </c>
      <c r="I17" s="29" t="s">
        <v>14</v>
      </c>
      <c r="J17" s="47" t="s">
        <v>158</v>
      </c>
      <c r="K17" s="47" t="s">
        <v>19</v>
      </c>
      <c r="L17" s="423" t="s">
        <v>2175</v>
      </c>
      <c r="M17" s="47" t="s">
        <v>159</v>
      </c>
      <c r="N17" s="27" t="s">
        <v>21</v>
      </c>
      <c r="O17" s="423" t="s">
        <v>2159</v>
      </c>
      <c r="P17" s="47" t="s">
        <v>160</v>
      </c>
      <c r="Q17" s="25" t="s">
        <v>23</v>
      </c>
      <c r="R17" s="423" t="s">
        <v>2160</v>
      </c>
      <c r="S17" s="30" t="s">
        <v>161</v>
      </c>
    </row>
    <row r="18" spans="1:19" ht="15" x14ac:dyDescent="0.25">
      <c r="A18" s="27" t="s">
        <v>12</v>
      </c>
      <c r="B18" s="52" t="s">
        <v>13</v>
      </c>
      <c r="C18" s="27" t="s">
        <v>14</v>
      </c>
      <c r="D18" s="53">
        <v>19</v>
      </c>
      <c r="E18" s="53" t="s">
        <v>2169</v>
      </c>
      <c r="F18" s="55" t="s">
        <v>88</v>
      </c>
      <c r="G18" s="55" t="s">
        <v>165</v>
      </c>
      <c r="H18" s="55" t="s">
        <v>157</v>
      </c>
      <c r="I18" s="29" t="s">
        <v>14</v>
      </c>
      <c r="J18" s="29" t="s">
        <v>166</v>
      </c>
      <c r="K18" s="47" t="s">
        <v>19</v>
      </c>
      <c r="L18" s="423" t="s">
        <v>2176</v>
      </c>
      <c r="M18" s="48" t="s">
        <v>167</v>
      </c>
      <c r="N18" s="29" t="s">
        <v>21</v>
      </c>
      <c r="O18" s="423" t="s">
        <v>2159</v>
      </c>
      <c r="P18" s="27">
        <v>260899</v>
      </c>
      <c r="Q18" s="29" t="s">
        <v>23</v>
      </c>
      <c r="R18" s="423" t="s">
        <v>2160</v>
      </c>
      <c r="S18" s="51">
        <v>6542858</v>
      </c>
    </row>
    <row r="19" spans="1:19" ht="15" x14ac:dyDescent="0.25">
      <c r="A19" s="27" t="s">
        <v>12</v>
      </c>
      <c r="B19" s="52" t="s">
        <v>13</v>
      </c>
      <c r="C19" s="27" t="s">
        <v>14</v>
      </c>
      <c r="D19" s="53">
        <v>20</v>
      </c>
      <c r="E19" s="53" t="s">
        <v>2161</v>
      </c>
      <c r="F19" s="92" t="s">
        <v>34</v>
      </c>
      <c r="G19" s="88" t="s">
        <v>174</v>
      </c>
      <c r="H19" s="45" t="s">
        <v>175</v>
      </c>
      <c r="I19" s="29" t="s">
        <v>14</v>
      </c>
      <c r="J19" s="47" t="s">
        <v>176</v>
      </c>
      <c r="K19" s="47" t="s">
        <v>19</v>
      </c>
      <c r="L19" s="423" t="s">
        <v>2176</v>
      </c>
      <c r="M19" s="27" t="s">
        <v>177</v>
      </c>
      <c r="N19" s="27" t="s">
        <v>21</v>
      </c>
      <c r="O19" s="423" t="s">
        <v>2159</v>
      </c>
      <c r="P19" s="27" t="s">
        <v>178</v>
      </c>
      <c r="Q19" s="27" t="s">
        <v>23</v>
      </c>
      <c r="R19" s="423" t="s">
        <v>2160</v>
      </c>
      <c r="S19" s="25" t="s">
        <v>179</v>
      </c>
    </row>
    <row r="20" spans="1:19" ht="15" x14ac:dyDescent="0.25">
      <c r="A20" s="27" t="s">
        <v>12</v>
      </c>
      <c r="B20" s="52" t="s">
        <v>13</v>
      </c>
      <c r="C20" s="27" t="s">
        <v>14</v>
      </c>
      <c r="D20" s="53">
        <v>21</v>
      </c>
      <c r="E20" s="53" t="s">
        <v>2162</v>
      </c>
      <c r="F20" s="92" t="s">
        <v>44</v>
      </c>
      <c r="G20" s="88" t="s">
        <v>181</v>
      </c>
      <c r="H20" s="45" t="s">
        <v>182</v>
      </c>
      <c r="I20" s="29" t="s">
        <v>14</v>
      </c>
      <c r="J20" s="47" t="s">
        <v>183</v>
      </c>
      <c r="K20" s="47" t="s">
        <v>19</v>
      </c>
      <c r="L20" s="423" t="s">
        <v>2177</v>
      </c>
      <c r="M20" s="27" t="s">
        <v>184</v>
      </c>
      <c r="N20" s="27" t="s">
        <v>21</v>
      </c>
      <c r="O20" s="423" t="s">
        <v>2159</v>
      </c>
      <c r="P20" s="27" t="s">
        <v>185</v>
      </c>
      <c r="Q20" s="48" t="s">
        <v>23</v>
      </c>
      <c r="R20" s="423" t="s">
        <v>2160</v>
      </c>
      <c r="S20" s="30" t="s">
        <v>186</v>
      </c>
    </row>
    <row r="21" spans="1:19" ht="15" x14ac:dyDescent="0.25">
      <c r="A21" s="27" t="s">
        <v>12</v>
      </c>
      <c r="B21" s="52" t="s">
        <v>13</v>
      </c>
      <c r="C21" s="27" t="s">
        <v>14</v>
      </c>
      <c r="D21" s="78">
        <v>22</v>
      </c>
      <c r="E21" s="78" t="s">
        <v>2169</v>
      </c>
      <c r="F21" s="45" t="s">
        <v>88</v>
      </c>
      <c r="G21" s="50" t="s">
        <v>189</v>
      </c>
      <c r="H21" s="45" t="s">
        <v>190</v>
      </c>
      <c r="I21" s="29" t="s">
        <v>14</v>
      </c>
      <c r="J21" s="48" t="s">
        <v>191</v>
      </c>
      <c r="K21" s="59" t="s">
        <v>19</v>
      </c>
      <c r="L21" s="423" t="s">
        <v>2177</v>
      </c>
      <c r="M21" s="101" t="s">
        <v>192</v>
      </c>
      <c r="N21" s="27" t="s">
        <v>21</v>
      </c>
      <c r="O21" s="423" t="s">
        <v>2159</v>
      </c>
      <c r="P21" s="48" t="s">
        <v>193</v>
      </c>
      <c r="Q21" s="30" t="s">
        <v>23</v>
      </c>
      <c r="R21" s="423" t="s">
        <v>2160</v>
      </c>
      <c r="S21" s="51" t="s">
        <v>194</v>
      </c>
    </row>
    <row r="22" spans="1:19" ht="15" x14ac:dyDescent="0.25">
      <c r="A22" s="30" t="s">
        <v>12</v>
      </c>
      <c r="B22" s="52" t="s">
        <v>13</v>
      </c>
      <c r="C22" s="30" t="s">
        <v>14</v>
      </c>
      <c r="D22" s="103">
        <v>23</v>
      </c>
      <c r="E22" s="103" t="s">
        <v>2161</v>
      </c>
      <c r="F22" s="104" t="s">
        <v>34</v>
      </c>
      <c r="G22" s="46" t="s">
        <v>198</v>
      </c>
      <c r="H22" s="45" t="s">
        <v>199</v>
      </c>
      <c r="I22" s="29" t="s">
        <v>14</v>
      </c>
      <c r="J22" s="48" t="s">
        <v>200</v>
      </c>
      <c r="K22" s="47" t="s">
        <v>19</v>
      </c>
      <c r="L22" s="423" t="s">
        <v>2178</v>
      </c>
      <c r="M22" s="48" t="s">
        <v>201</v>
      </c>
      <c r="N22" s="27" t="s">
        <v>21</v>
      </c>
      <c r="O22" s="423" t="s">
        <v>2159</v>
      </c>
      <c r="P22" s="48" t="s">
        <v>202</v>
      </c>
      <c r="Q22" s="25" t="s">
        <v>23</v>
      </c>
      <c r="R22" s="423" t="s">
        <v>2160</v>
      </c>
      <c r="S22" s="25" t="s">
        <v>203</v>
      </c>
    </row>
    <row r="23" spans="1:19" ht="15" x14ac:dyDescent="0.25">
      <c r="A23" s="27" t="s">
        <v>12</v>
      </c>
      <c r="B23" s="52" t="s">
        <v>13</v>
      </c>
      <c r="C23" s="27" t="s">
        <v>14</v>
      </c>
      <c r="D23" s="78">
        <v>24</v>
      </c>
      <c r="E23" s="78" t="s">
        <v>2162</v>
      </c>
      <c r="F23" s="55" t="s">
        <v>44</v>
      </c>
      <c r="G23" s="55" t="s">
        <v>205</v>
      </c>
      <c r="H23" s="55" t="s">
        <v>206</v>
      </c>
      <c r="I23" s="29" t="s">
        <v>14</v>
      </c>
      <c r="J23" s="90" t="s">
        <v>207</v>
      </c>
      <c r="K23" s="47" t="s">
        <v>74</v>
      </c>
      <c r="L23" s="423" t="s">
        <v>2167</v>
      </c>
      <c r="M23" s="48" t="s">
        <v>208</v>
      </c>
      <c r="N23" s="27" t="s">
        <v>21</v>
      </c>
      <c r="O23" s="423" t="s">
        <v>2159</v>
      </c>
      <c r="P23" s="48" t="s">
        <v>209</v>
      </c>
      <c r="Q23" s="27" t="s">
        <v>23</v>
      </c>
      <c r="R23" s="423" t="s">
        <v>2160</v>
      </c>
      <c r="S23" s="30" t="s">
        <v>210</v>
      </c>
    </row>
    <row r="24" spans="1:19" ht="15" x14ac:dyDescent="0.25">
      <c r="A24" s="27" t="s">
        <v>12</v>
      </c>
      <c r="B24" s="52" t="s">
        <v>13</v>
      </c>
      <c r="C24" s="27" t="s">
        <v>14</v>
      </c>
      <c r="D24" s="78">
        <v>25</v>
      </c>
      <c r="E24" s="78" t="s">
        <v>2161</v>
      </c>
      <c r="F24" s="45" t="s">
        <v>34</v>
      </c>
      <c r="G24" s="50" t="s">
        <v>217</v>
      </c>
      <c r="H24" s="45" t="s">
        <v>218</v>
      </c>
      <c r="I24" s="29" t="s">
        <v>14</v>
      </c>
      <c r="J24" s="48" t="s">
        <v>219</v>
      </c>
      <c r="K24" s="47" t="s">
        <v>19</v>
      </c>
      <c r="L24" s="423" t="s">
        <v>2179</v>
      </c>
      <c r="M24" s="48" t="s">
        <v>220</v>
      </c>
      <c r="N24" s="27" t="s">
        <v>21</v>
      </c>
      <c r="O24" s="423" t="s">
        <v>2159</v>
      </c>
      <c r="P24" s="48" t="s">
        <v>221</v>
      </c>
      <c r="Q24" s="27" t="s">
        <v>23</v>
      </c>
      <c r="R24" s="423" t="s">
        <v>2160</v>
      </c>
      <c r="S24" s="30" t="s">
        <v>222</v>
      </c>
    </row>
    <row r="25" spans="1:19" ht="15" x14ac:dyDescent="0.25">
      <c r="A25" s="27" t="s">
        <v>12</v>
      </c>
      <c r="B25" s="52" t="s">
        <v>13</v>
      </c>
      <c r="C25" s="27" t="s">
        <v>14</v>
      </c>
      <c r="D25" s="78">
        <v>26</v>
      </c>
      <c r="E25" s="78" t="s">
        <v>2162</v>
      </c>
      <c r="F25" s="79" t="s">
        <v>44</v>
      </c>
      <c r="G25" s="55" t="s">
        <v>225</v>
      </c>
      <c r="H25" s="45" t="s">
        <v>226</v>
      </c>
      <c r="I25" s="29" t="s">
        <v>14</v>
      </c>
      <c r="J25" s="48" t="s">
        <v>227</v>
      </c>
      <c r="K25" s="47" t="s">
        <v>19</v>
      </c>
      <c r="L25" s="423" t="s">
        <v>2179</v>
      </c>
      <c r="M25" s="27" t="s">
        <v>228</v>
      </c>
      <c r="N25" s="27" t="s">
        <v>21</v>
      </c>
      <c r="O25" s="423" t="s">
        <v>2159</v>
      </c>
      <c r="P25" s="48" t="s">
        <v>229</v>
      </c>
      <c r="Q25" s="30" t="s">
        <v>23</v>
      </c>
      <c r="R25" s="423" t="s">
        <v>2160</v>
      </c>
      <c r="S25" s="25" t="s">
        <v>230</v>
      </c>
    </row>
    <row r="26" spans="1:19" ht="15" x14ac:dyDescent="0.25">
      <c r="A26" s="27" t="s">
        <v>12</v>
      </c>
      <c r="B26" s="52" t="s">
        <v>13</v>
      </c>
      <c r="C26" s="27" t="s">
        <v>14</v>
      </c>
      <c r="D26" s="53">
        <v>27</v>
      </c>
      <c r="E26" s="53" t="s">
        <v>2169</v>
      </c>
      <c r="F26" s="92" t="s">
        <v>88</v>
      </c>
      <c r="G26" s="55" t="s">
        <v>231</v>
      </c>
      <c r="H26" s="45" t="s">
        <v>72</v>
      </c>
      <c r="I26" s="29" t="s">
        <v>14</v>
      </c>
      <c r="J26" s="47" t="s">
        <v>232</v>
      </c>
      <c r="K26" s="47" t="s">
        <v>19</v>
      </c>
      <c r="L26" s="423" t="s">
        <v>2180</v>
      </c>
      <c r="M26" s="27" t="s">
        <v>233</v>
      </c>
      <c r="N26" s="27" t="s">
        <v>21</v>
      </c>
      <c r="O26" s="423" t="s">
        <v>2159</v>
      </c>
      <c r="P26" s="27" t="s">
        <v>234</v>
      </c>
      <c r="Q26" s="27" t="s">
        <v>23</v>
      </c>
      <c r="R26" s="423" t="s">
        <v>2160</v>
      </c>
      <c r="S26" s="51" t="s">
        <v>235</v>
      </c>
    </row>
    <row r="27" spans="1:19" ht="15" x14ac:dyDescent="0.25">
      <c r="A27" s="27" t="s">
        <v>12</v>
      </c>
      <c r="B27" s="52" t="s">
        <v>13</v>
      </c>
      <c r="C27" s="27" t="s">
        <v>14</v>
      </c>
      <c r="D27" s="35">
        <v>28</v>
      </c>
      <c r="E27" s="35" t="s">
        <v>2162</v>
      </c>
      <c r="F27" s="45" t="s">
        <v>44</v>
      </c>
      <c r="G27" s="55" t="s">
        <v>238</v>
      </c>
      <c r="H27" s="45" t="s">
        <v>239</v>
      </c>
      <c r="I27" s="29" t="s">
        <v>14</v>
      </c>
      <c r="J27" s="27" t="s">
        <v>240</v>
      </c>
      <c r="K27" s="47" t="s">
        <v>19</v>
      </c>
      <c r="L27" s="423" t="s">
        <v>2180</v>
      </c>
      <c r="M27" s="47" t="s">
        <v>241</v>
      </c>
      <c r="N27" s="27" t="s">
        <v>21</v>
      </c>
      <c r="O27" s="423" t="s">
        <v>2159</v>
      </c>
      <c r="P27" s="27" t="s">
        <v>242</v>
      </c>
      <c r="Q27" s="27" t="s">
        <v>139</v>
      </c>
      <c r="R27" s="423" t="s">
        <v>2174</v>
      </c>
      <c r="S27" s="40">
        <v>4192</v>
      </c>
    </row>
    <row r="28" spans="1:19" ht="15" x14ac:dyDescent="0.25">
      <c r="A28" s="51" t="s">
        <v>12</v>
      </c>
      <c r="B28" s="52" t="s">
        <v>13</v>
      </c>
      <c r="C28" s="30" t="s">
        <v>14</v>
      </c>
      <c r="D28" s="106">
        <v>29</v>
      </c>
      <c r="E28" s="106" t="s">
        <v>2169</v>
      </c>
      <c r="F28" s="79" t="s">
        <v>88</v>
      </c>
      <c r="G28" s="46" t="s">
        <v>244</v>
      </c>
      <c r="H28" s="45" t="s">
        <v>245</v>
      </c>
      <c r="I28" s="29" t="s">
        <v>14</v>
      </c>
      <c r="J28" s="27" t="s">
        <v>246</v>
      </c>
      <c r="K28" s="47" t="s">
        <v>19</v>
      </c>
      <c r="L28" s="423" t="s">
        <v>2181</v>
      </c>
      <c r="M28" s="27" t="s">
        <v>247</v>
      </c>
      <c r="N28" s="27" t="s">
        <v>21</v>
      </c>
      <c r="O28" s="423" t="s">
        <v>2159</v>
      </c>
      <c r="P28" s="27" t="s">
        <v>248</v>
      </c>
      <c r="Q28" s="30" t="s">
        <v>23</v>
      </c>
      <c r="R28" s="423" t="s">
        <v>2160</v>
      </c>
      <c r="S28" s="30" t="s">
        <v>249</v>
      </c>
    </row>
    <row r="29" spans="1:19" ht="15" x14ac:dyDescent="0.25">
      <c r="A29" s="51" t="s">
        <v>12</v>
      </c>
      <c r="B29" s="52" t="s">
        <v>13</v>
      </c>
      <c r="C29" s="30" t="s">
        <v>14</v>
      </c>
      <c r="D29" s="106">
        <v>30</v>
      </c>
      <c r="E29" s="106" t="s">
        <v>2162</v>
      </c>
      <c r="F29" s="45" t="s">
        <v>44</v>
      </c>
      <c r="G29" s="50" t="s">
        <v>252</v>
      </c>
      <c r="H29" s="45" t="s">
        <v>253</v>
      </c>
      <c r="I29" s="48" t="s">
        <v>14</v>
      </c>
      <c r="J29" s="27" t="s">
        <v>254</v>
      </c>
      <c r="K29" s="48" t="s">
        <v>19</v>
      </c>
      <c r="L29" s="423" t="s">
        <v>2181</v>
      </c>
      <c r="M29" s="27" t="s">
        <v>255</v>
      </c>
      <c r="N29" s="27" t="s">
        <v>21</v>
      </c>
      <c r="O29" s="423" t="s">
        <v>2159</v>
      </c>
      <c r="P29" s="27" t="s">
        <v>256</v>
      </c>
      <c r="Q29" s="27" t="s">
        <v>23</v>
      </c>
      <c r="R29" s="423" t="s">
        <v>2160</v>
      </c>
      <c r="S29" s="30" t="s">
        <v>257</v>
      </c>
    </row>
    <row r="30" spans="1:19" ht="15" x14ac:dyDescent="0.25">
      <c r="A30" s="51" t="s">
        <v>12</v>
      </c>
      <c r="B30" s="52" t="s">
        <v>13</v>
      </c>
      <c r="C30" s="30" t="s">
        <v>14</v>
      </c>
      <c r="D30" s="106">
        <v>31</v>
      </c>
      <c r="E30" s="106" t="s">
        <v>2182</v>
      </c>
      <c r="F30" s="92" t="s">
        <v>265</v>
      </c>
      <c r="G30" s="88" t="s">
        <v>266</v>
      </c>
      <c r="H30" s="45" t="s">
        <v>267</v>
      </c>
      <c r="I30" s="29" t="s">
        <v>14</v>
      </c>
      <c r="J30" s="27" t="s">
        <v>268</v>
      </c>
      <c r="K30" s="47" t="s">
        <v>19</v>
      </c>
      <c r="L30" s="423" t="s">
        <v>2183</v>
      </c>
      <c r="M30" s="27" t="s">
        <v>269</v>
      </c>
      <c r="N30" s="27" t="s">
        <v>21</v>
      </c>
      <c r="O30" s="423" t="s">
        <v>2159</v>
      </c>
      <c r="P30" s="27" t="s">
        <v>270</v>
      </c>
      <c r="Q30" s="27" t="s">
        <v>23</v>
      </c>
      <c r="R30" s="423" t="s">
        <v>2160</v>
      </c>
      <c r="S30" s="25" t="s">
        <v>271</v>
      </c>
    </row>
    <row r="31" spans="1:19" ht="15" x14ac:dyDescent="0.25">
      <c r="A31" s="51" t="s">
        <v>273</v>
      </c>
      <c r="B31" s="52" t="s">
        <v>13</v>
      </c>
      <c r="C31" s="30" t="s">
        <v>14</v>
      </c>
      <c r="D31" s="106">
        <v>32</v>
      </c>
      <c r="E31" s="106" t="s">
        <v>2157</v>
      </c>
      <c r="F31" s="79" t="s">
        <v>15</v>
      </c>
      <c r="G31" s="46" t="s">
        <v>274</v>
      </c>
      <c r="H31" s="45" t="s">
        <v>36</v>
      </c>
      <c r="I31" s="29" t="s">
        <v>14</v>
      </c>
      <c r="J31" s="27" t="s">
        <v>275</v>
      </c>
      <c r="K31" s="47" t="s">
        <v>276</v>
      </c>
      <c r="L31" s="423" t="s">
        <v>2184</v>
      </c>
      <c r="M31" s="27" t="s">
        <v>277</v>
      </c>
      <c r="N31" s="27" t="s">
        <v>21</v>
      </c>
      <c r="O31" s="423" t="s">
        <v>2159</v>
      </c>
      <c r="P31" s="27" t="s">
        <v>278</v>
      </c>
      <c r="Q31" s="27" t="s">
        <v>23</v>
      </c>
      <c r="R31" s="423" t="s">
        <v>2160</v>
      </c>
      <c r="S31" s="30">
        <v>5045</v>
      </c>
    </row>
    <row r="32" spans="1:19" ht="15" x14ac:dyDescent="0.25">
      <c r="A32" s="51" t="s">
        <v>273</v>
      </c>
      <c r="B32" s="52" t="s">
        <v>13</v>
      </c>
      <c r="C32" s="30" t="s">
        <v>14</v>
      </c>
      <c r="D32" s="106">
        <v>33</v>
      </c>
      <c r="E32" s="106" t="s">
        <v>2164</v>
      </c>
      <c r="F32" s="45" t="s">
        <v>53</v>
      </c>
      <c r="G32" s="50" t="s">
        <v>280</v>
      </c>
      <c r="H32" s="45" t="s">
        <v>281</v>
      </c>
      <c r="I32" s="29" t="s">
        <v>14</v>
      </c>
      <c r="J32" s="27" t="s">
        <v>282</v>
      </c>
      <c r="K32" s="47" t="s">
        <v>19</v>
      </c>
      <c r="L32" s="423" t="s">
        <v>2181</v>
      </c>
      <c r="M32" s="27" t="s">
        <v>283</v>
      </c>
      <c r="N32" s="27" t="s">
        <v>21</v>
      </c>
      <c r="O32" s="423" t="s">
        <v>2159</v>
      </c>
      <c r="P32" s="27" t="s">
        <v>284</v>
      </c>
      <c r="Q32" s="30" t="s">
        <v>23</v>
      </c>
      <c r="R32" s="423" t="s">
        <v>2160</v>
      </c>
      <c r="S32" s="30" t="s">
        <v>285</v>
      </c>
    </row>
    <row r="33" spans="1:19" ht="15" x14ac:dyDescent="0.25">
      <c r="A33" s="51" t="s">
        <v>273</v>
      </c>
      <c r="B33" s="52" t="s">
        <v>13</v>
      </c>
      <c r="C33" s="30" t="s">
        <v>14</v>
      </c>
      <c r="D33" s="106">
        <v>34</v>
      </c>
      <c r="E33" s="106" t="s">
        <v>2185</v>
      </c>
      <c r="F33" s="45" t="s">
        <v>287</v>
      </c>
      <c r="G33" s="45" t="s">
        <v>288</v>
      </c>
      <c r="H33" s="45" t="s">
        <v>289</v>
      </c>
      <c r="I33" s="29" t="s">
        <v>14</v>
      </c>
      <c r="J33" s="27" t="s">
        <v>290</v>
      </c>
      <c r="K33" s="47" t="s">
        <v>92</v>
      </c>
      <c r="L33" s="423" t="s">
        <v>2170</v>
      </c>
      <c r="M33" s="47" t="s">
        <v>291</v>
      </c>
      <c r="N33" s="27" t="s">
        <v>21</v>
      </c>
      <c r="O33" s="423" t="s">
        <v>2159</v>
      </c>
      <c r="P33" s="27" t="s">
        <v>292</v>
      </c>
      <c r="Q33" s="27" t="s">
        <v>23</v>
      </c>
      <c r="R33" s="423" t="s">
        <v>2160</v>
      </c>
      <c r="S33" s="40">
        <v>74106843</v>
      </c>
    </row>
    <row r="34" spans="1:19" ht="15" x14ac:dyDescent="0.25">
      <c r="A34" s="109" t="s">
        <v>273</v>
      </c>
      <c r="B34" s="83" t="s">
        <v>13</v>
      </c>
      <c r="C34" s="15" t="s">
        <v>14</v>
      </c>
      <c r="D34" s="110">
        <v>35</v>
      </c>
      <c r="E34" s="110" t="s">
        <v>2169</v>
      </c>
      <c r="F34" s="17" t="s">
        <v>88</v>
      </c>
      <c r="G34" s="18" t="s">
        <v>294</v>
      </c>
      <c r="H34" s="17" t="s">
        <v>295</v>
      </c>
      <c r="I34" s="19" t="s">
        <v>14</v>
      </c>
      <c r="J34" s="14" t="s">
        <v>296</v>
      </c>
      <c r="K34" s="20" t="s">
        <v>92</v>
      </c>
      <c r="L34" s="423" t="s">
        <v>2170</v>
      </c>
      <c r="M34" s="14" t="s">
        <v>297</v>
      </c>
      <c r="N34" s="14" t="s">
        <v>21</v>
      </c>
      <c r="O34" s="423" t="s">
        <v>2159</v>
      </c>
      <c r="P34" s="14" t="s">
        <v>298</v>
      </c>
      <c r="Q34" s="14" t="s">
        <v>23</v>
      </c>
      <c r="R34" s="423" t="s">
        <v>2160</v>
      </c>
      <c r="S34" s="15" t="s">
        <v>299</v>
      </c>
    </row>
    <row r="35" spans="1:19" ht="15" x14ac:dyDescent="0.25">
      <c r="A35" s="51" t="s">
        <v>273</v>
      </c>
      <c r="B35" s="52" t="s">
        <v>13</v>
      </c>
      <c r="C35" s="30" t="s">
        <v>14</v>
      </c>
      <c r="D35" s="106">
        <v>36</v>
      </c>
      <c r="E35" s="106" t="s">
        <v>2169</v>
      </c>
      <c r="F35" s="45" t="s">
        <v>88</v>
      </c>
      <c r="G35" s="50" t="s">
        <v>301</v>
      </c>
      <c r="H35" s="45" t="s">
        <v>143</v>
      </c>
      <c r="I35" s="29" t="s">
        <v>14</v>
      </c>
      <c r="J35" s="27" t="s">
        <v>302</v>
      </c>
      <c r="K35" s="47" t="s">
        <v>92</v>
      </c>
      <c r="L35" s="423" t="s">
        <v>2170</v>
      </c>
      <c r="M35" s="27" t="s">
        <v>303</v>
      </c>
      <c r="N35" s="27" t="s">
        <v>21</v>
      </c>
      <c r="O35" s="423" t="s">
        <v>2159</v>
      </c>
      <c r="P35" s="27" t="s">
        <v>304</v>
      </c>
      <c r="Q35" s="27" t="s">
        <v>23</v>
      </c>
      <c r="R35" s="423" t="s">
        <v>2160</v>
      </c>
      <c r="S35" s="30">
        <v>74106820</v>
      </c>
    </row>
    <row r="36" spans="1:19" ht="15" x14ac:dyDescent="0.25">
      <c r="A36" s="51" t="s">
        <v>273</v>
      </c>
      <c r="B36" s="52" t="s">
        <v>13</v>
      </c>
      <c r="C36" s="30" t="s">
        <v>14</v>
      </c>
      <c r="D36" s="106">
        <v>37</v>
      </c>
      <c r="E36" s="106" t="s">
        <v>2169</v>
      </c>
      <c r="F36" s="45" t="s">
        <v>88</v>
      </c>
      <c r="G36" s="50" t="s">
        <v>306</v>
      </c>
      <c r="H36" s="45" t="s">
        <v>157</v>
      </c>
      <c r="I36" s="29" t="s">
        <v>14</v>
      </c>
      <c r="J36" s="27" t="s">
        <v>307</v>
      </c>
      <c r="K36" s="47" t="s">
        <v>92</v>
      </c>
      <c r="L36" s="423" t="s">
        <v>2170</v>
      </c>
      <c r="M36" s="27" t="s">
        <v>308</v>
      </c>
      <c r="N36" s="27" t="s">
        <v>21</v>
      </c>
      <c r="O36" s="423" t="s">
        <v>2159</v>
      </c>
      <c r="P36" s="27" t="s">
        <v>309</v>
      </c>
      <c r="Q36" s="27" t="s">
        <v>23</v>
      </c>
      <c r="R36" s="423" t="s">
        <v>2160</v>
      </c>
      <c r="S36" s="30">
        <v>6541109</v>
      </c>
    </row>
    <row r="37" spans="1:19" ht="15" x14ac:dyDescent="0.25">
      <c r="A37" s="51" t="s">
        <v>273</v>
      </c>
      <c r="B37" s="52" t="s">
        <v>13</v>
      </c>
      <c r="C37" s="30" t="s">
        <v>14</v>
      </c>
      <c r="D37" s="106">
        <v>38</v>
      </c>
      <c r="E37" s="106" t="s">
        <v>2161</v>
      </c>
      <c r="F37" s="45" t="s">
        <v>34</v>
      </c>
      <c r="G37" s="50" t="s">
        <v>311</v>
      </c>
      <c r="H37" s="45" t="s">
        <v>143</v>
      </c>
      <c r="I37" s="29" t="s">
        <v>14</v>
      </c>
      <c r="J37" s="27" t="s">
        <v>312</v>
      </c>
      <c r="K37" s="47" t="s">
        <v>92</v>
      </c>
      <c r="L37" s="423" t="s">
        <v>2170</v>
      </c>
      <c r="M37" s="27" t="s">
        <v>313</v>
      </c>
      <c r="N37" s="27" t="s">
        <v>21</v>
      </c>
      <c r="O37" s="423" t="s">
        <v>2159</v>
      </c>
      <c r="P37" s="27" t="s">
        <v>314</v>
      </c>
      <c r="Q37" s="27" t="s">
        <v>23</v>
      </c>
      <c r="R37" s="423" t="s">
        <v>2160</v>
      </c>
      <c r="S37" s="30" t="s">
        <v>315</v>
      </c>
    </row>
    <row r="38" spans="1:19" ht="15" x14ac:dyDescent="0.25">
      <c r="A38" s="51" t="s">
        <v>273</v>
      </c>
      <c r="B38" s="52" t="s">
        <v>13</v>
      </c>
      <c r="C38" s="30" t="s">
        <v>14</v>
      </c>
      <c r="D38" s="106">
        <v>39</v>
      </c>
      <c r="E38" s="106" t="s">
        <v>2161</v>
      </c>
      <c r="F38" s="55" t="s">
        <v>34</v>
      </c>
      <c r="G38" s="55" t="s">
        <v>318</v>
      </c>
      <c r="H38" s="55" t="s">
        <v>319</v>
      </c>
      <c r="I38" s="29" t="s">
        <v>14</v>
      </c>
      <c r="J38" s="27" t="s">
        <v>320</v>
      </c>
      <c r="K38" s="47" t="s">
        <v>92</v>
      </c>
      <c r="L38" s="423" t="s">
        <v>2170</v>
      </c>
      <c r="M38" s="27" t="s">
        <v>321</v>
      </c>
      <c r="N38" s="27" t="s">
        <v>21</v>
      </c>
      <c r="O38" s="423" t="s">
        <v>2159</v>
      </c>
      <c r="P38" s="27" t="s">
        <v>322</v>
      </c>
      <c r="Q38" s="27" t="s">
        <v>23</v>
      </c>
      <c r="R38" s="423" t="s">
        <v>2160</v>
      </c>
      <c r="S38" s="30" t="s">
        <v>323</v>
      </c>
    </row>
    <row r="39" spans="1:19" ht="15" x14ac:dyDescent="0.25">
      <c r="A39" s="51" t="s">
        <v>273</v>
      </c>
      <c r="B39" s="52" t="s">
        <v>13</v>
      </c>
      <c r="C39" s="30" t="s">
        <v>14</v>
      </c>
      <c r="D39" s="106">
        <v>40</v>
      </c>
      <c r="E39" s="106" t="s">
        <v>2162</v>
      </c>
      <c r="F39" s="45" t="s">
        <v>44</v>
      </c>
      <c r="G39" s="50" t="s">
        <v>325</v>
      </c>
      <c r="H39" s="45" t="s">
        <v>326</v>
      </c>
      <c r="I39" s="29" t="s">
        <v>14</v>
      </c>
      <c r="J39" s="27" t="s">
        <v>327</v>
      </c>
      <c r="K39" s="47" t="s">
        <v>92</v>
      </c>
      <c r="L39" s="423" t="s">
        <v>2170</v>
      </c>
      <c r="M39" s="27" t="s">
        <v>328</v>
      </c>
      <c r="N39" s="27" t="s">
        <v>21</v>
      </c>
      <c r="O39" s="423" t="s">
        <v>2159</v>
      </c>
      <c r="P39" s="27" t="s">
        <v>329</v>
      </c>
      <c r="Q39" s="27" t="s">
        <v>23</v>
      </c>
      <c r="R39" s="423" t="s">
        <v>2160</v>
      </c>
      <c r="S39" s="30" t="s">
        <v>330</v>
      </c>
    </row>
    <row r="40" spans="1:19" ht="15" x14ac:dyDescent="0.25">
      <c r="A40" s="51" t="s">
        <v>273</v>
      </c>
      <c r="B40" s="52" t="s">
        <v>13</v>
      </c>
      <c r="C40" s="30" t="s">
        <v>14</v>
      </c>
      <c r="D40" s="106">
        <v>41</v>
      </c>
      <c r="E40" s="106" t="s">
        <v>2162</v>
      </c>
      <c r="F40" s="92" t="s">
        <v>44</v>
      </c>
      <c r="G40" s="88" t="s">
        <v>333</v>
      </c>
      <c r="H40" s="45" t="s">
        <v>334</v>
      </c>
      <c r="I40" s="29" t="s">
        <v>14</v>
      </c>
      <c r="J40" s="27" t="s">
        <v>335</v>
      </c>
      <c r="K40" s="47" t="s">
        <v>92</v>
      </c>
      <c r="L40" s="423" t="s">
        <v>2170</v>
      </c>
      <c r="M40" s="27" t="s">
        <v>336</v>
      </c>
      <c r="N40" s="27" t="s">
        <v>21</v>
      </c>
      <c r="O40" s="423" t="s">
        <v>2159</v>
      </c>
      <c r="P40" s="27" t="s">
        <v>337</v>
      </c>
      <c r="Q40" s="27" t="s">
        <v>23</v>
      </c>
      <c r="R40" s="423" t="s">
        <v>2160</v>
      </c>
      <c r="S40" s="30" t="s">
        <v>338</v>
      </c>
    </row>
    <row r="41" spans="1:19" ht="15" x14ac:dyDescent="0.25">
      <c r="A41" s="51" t="s">
        <v>273</v>
      </c>
      <c r="B41" s="52" t="s">
        <v>13</v>
      </c>
      <c r="C41" s="30" t="s">
        <v>14</v>
      </c>
      <c r="D41" s="106">
        <v>42</v>
      </c>
      <c r="E41" s="106" t="s">
        <v>2161</v>
      </c>
      <c r="F41" s="79" t="s">
        <v>34</v>
      </c>
      <c r="G41" s="46" t="s">
        <v>340</v>
      </c>
      <c r="H41" s="88" t="s">
        <v>341</v>
      </c>
      <c r="I41" s="29" t="s">
        <v>14</v>
      </c>
      <c r="J41" s="27" t="s">
        <v>342</v>
      </c>
      <c r="K41" s="47" t="s">
        <v>92</v>
      </c>
      <c r="L41" s="423" t="s">
        <v>2170</v>
      </c>
      <c r="M41" s="47" t="s">
        <v>343</v>
      </c>
      <c r="N41" s="27" t="s">
        <v>21</v>
      </c>
      <c r="O41" s="423" t="s">
        <v>2159</v>
      </c>
      <c r="P41" s="27" t="s">
        <v>344</v>
      </c>
      <c r="Q41" s="27" t="s">
        <v>23</v>
      </c>
      <c r="R41" s="423" t="s">
        <v>2160</v>
      </c>
      <c r="S41" s="30" t="s">
        <v>345</v>
      </c>
    </row>
    <row r="42" spans="1:19" ht="15" x14ac:dyDescent="0.25">
      <c r="A42" s="51" t="s">
        <v>273</v>
      </c>
      <c r="B42" s="52" t="s">
        <v>13</v>
      </c>
      <c r="C42" s="30" t="s">
        <v>14</v>
      </c>
      <c r="D42" s="106">
        <v>43</v>
      </c>
      <c r="E42" s="106" t="s">
        <v>2162</v>
      </c>
      <c r="F42" s="55" t="s">
        <v>44</v>
      </c>
      <c r="G42" s="55" t="s">
        <v>347</v>
      </c>
      <c r="H42" s="55" t="s">
        <v>157</v>
      </c>
      <c r="I42" s="29" t="s">
        <v>14</v>
      </c>
      <c r="J42" s="27" t="s">
        <v>348</v>
      </c>
      <c r="K42" s="47" t="s">
        <v>92</v>
      </c>
      <c r="L42" s="423" t="s">
        <v>2170</v>
      </c>
      <c r="M42" s="27" t="s">
        <v>349</v>
      </c>
      <c r="N42" s="27" t="s">
        <v>21</v>
      </c>
      <c r="O42" s="423" t="s">
        <v>2159</v>
      </c>
      <c r="P42" s="27" t="s">
        <v>350</v>
      </c>
      <c r="Q42" s="27" t="s">
        <v>23</v>
      </c>
      <c r="R42" s="423" t="s">
        <v>2160</v>
      </c>
      <c r="S42" s="30" t="s">
        <v>351</v>
      </c>
    </row>
    <row r="43" spans="1:19" ht="15" x14ac:dyDescent="0.25">
      <c r="A43" s="51" t="s">
        <v>273</v>
      </c>
      <c r="B43" s="52" t="s">
        <v>13</v>
      </c>
      <c r="C43" s="30" t="s">
        <v>14</v>
      </c>
      <c r="D43" s="106">
        <v>44</v>
      </c>
      <c r="E43" s="106" t="s">
        <v>2169</v>
      </c>
      <c r="F43" s="92" t="s">
        <v>88</v>
      </c>
      <c r="G43" s="88" t="s">
        <v>353</v>
      </c>
      <c r="H43" s="45" t="s">
        <v>326</v>
      </c>
      <c r="I43" s="29" t="s">
        <v>14</v>
      </c>
      <c r="J43" s="27" t="s">
        <v>354</v>
      </c>
      <c r="K43" s="47" t="s">
        <v>92</v>
      </c>
      <c r="L43" s="423" t="s">
        <v>2170</v>
      </c>
      <c r="M43" s="27" t="s">
        <v>355</v>
      </c>
      <c r="N43" s="30" t="s">
        <v>21</v>
      </c>
      <c r="O43" s="423" t="s">
        <v>2159</v>
      </c>
      <c r="P43" s="30" t="s">
        <v>356</v>
      </c>
      <c r="Q43" s="27" t="s">
        <v>23</v>
      </c>
      <c r="R43" s="423" t="s">
        <v>2160</v>
      </c>
      <c r="S43" s="30" t="s">
        <v>357</v>
      </c>
    </row>
    <row r="44" spans="1:19" ht="15" x14ac:dyDescent="0.25">
      <c r="A44" s="51" t="s">
        <v>273</v>
      </c>
      <c r="B44" s="52" t="s">
        <v>13</v>
      </c>
      <c r="C44" s="30" t="s">
        <v>14</v>
      </c>
      <c r="D44" s="114">
        <v>45</v>
      </c>
      <c r="E44" s="114" t="s">
        <v>2169</v>
      </c>
      <c r="F44" s="55" t="s">
        <v>88</v>
      </c>
      <c r="G44" s="88" t="s">
        <v>364</v>
      </c>
      <c r="H44" s="45" t="s">
        <v>365</v>
      </c>
      <c r="I44" s="29" t="s">
        <v>14</v>
      </c>
      <c r="J44" s="47" t="s">
        <v>366</v>
      </c>
      <c r="K44" s="47" t="s">
        <v>92</v>
      </c>
      <c r="L44" s="423" t="s">
        <v>2170</v>
      </c>
      <c r="M44" s="47" t="s">
        <v>367</v>
      </c>
      <c r="N44" s="27" t="s">
        <v>21</v>
      </c>
      <c r="O44" s="423" t="s">
        <v>2159</v>
      </c>
      <c r="P44" s="27" t="s">
        <v>368</v>
      </c>
      <c r="Q44" s="27" t="s">
        <v>23</v>
      </c>
      <c r="R44" s="423" t="s">
        <v>2160</v>
      </c>
      <c r="S44" s="51" t="s">
        <v>369</v>
      </c>
    </row>
    <row r="45" spans="1:19" ht="15" x14ac:dyDescent="0.25">
      <c r="A45" s="51" t="s">
        <v>273</v>
      </c>
      <c r="B45" s="52" t="s">
        <v>13</v>
      </c>
      <c r="C45" s="30" t="s">
        <v>14</v>
      </c>
      <c r="D45" s="106">
        <v>46</v>
      </c>
      <c r="E45" s="106" t="s">
        <v>2185</v>
      </c>
      <c r="F45" s="92" t="s">
        <v>287</v>
      </c>
      <c r="G45" s="55" t="s">
        <v>371</v>
      </c>
      <c r="H45" s="55" t="s">
        <v>267</v>
      </c>
      <c r="I45" s="29" t="s">
        <v>14</v>
      </c>
      <c r="J45" s="27" t="s">
        <v>372</v>
      </c>
      <c r="K45" s="47" t="s">
        <v>92</v>
      </c>
      <c r="L45" s="423" t="s">
        <v>2170</v>
      </c>
      <c r="M45" s="2" t="s">
        <v>373</v>
      </c>
      <c r="N45" s="27" t="s">
        <v>21</v>
      </c>
      <c r="O45" s="423" t="s">
        <v>2159</v>
      </c>
      <c r="P45" s="27" t="s">
        <v>374</v>
      </c>
      <c r="Q45" s="27" t="s">
        <v>23</v>
      </c>
      <c r="R45" s="423" t="s">
        <v>2160</v>
      </c>
      <c r="S45" s="30" t="s">
        <v>375</v>
      </c>
    </row>
    <row r="46" spans="1:19" ht="15" x14ac:dyDescent="0.25">
      <c r="A46" s="51" t="s">
        <v>273</v>
      </c>
      <c r="B46" s="52" t="s">
        <v>13</v>
      </c>
      <c r="C46" s="30" t="s">
        <v>14</v>
      </c>
      <c r="D46" s="106">
        <v>47</v>
      </c>
      <c r="E46" s="106" t="s">
        <v>2162</v>
      </c>
      <c r="F46" s="92" t="s">
        <v>44</v>
      </c>
      <c r="G46" s="88" t="s">
        <v>377</v>
      </c>
      <c r="H46" s="45" t="s">
        <v>378</v>
      </c>
      <c r="I46" s="29" t="s">
        <v>14</v>
      </c>
      <c r="J46" s="27" t="s">
        <v>379</v>
      </c>
      <c r="K46" s="47" t="s">
        <v>92</v>
      </c>
      <c r="L46" s="423" t="s">
        <v>2170</v>
      </c>
      <c r="M46" s="2" t="s">
        <v>380</v>
      </c>
      <c r="N46" s="27" t="s">
        <v>21</v>
      </c>
      <c r="O46" s="423" t="s">
        <v>2159</v>
      </c>
      <c r="P46" s="27" t="s">
        <v>381</v>
      </c>
      <c r="Q46" s="48" t="s">
        <v>23</v>
      </c>
      <c r="R46" s="423" t="s">
        <v>2160</v>
      </c>
      <c r="S46" s="30" t="s">
        <v>382</v>
      </c>
    </row>
    <row r="47" spans="1:19" ht="15" x14ac:dyDescent="0.25">
      <c r="A47" s="51" t="s">
        <v>273</v>
      </c>
      <c r="B47" s="52" t="s">
        <v>13</v>
      </c>
      <c r="C47" s="30" t="s">
        <v>14</v>
      </c>
      <c r="D47" s="106">
        <v>48</v>
      </c>
      <c r="E47" s="106" t="s">
        <v>2162</v>
      </c>
      <c r="F47" s="45" t="s">
        <v>44</v>
      </c>
      <c r="G47" s="50" t="s">
        <v>384</v>
      </c>
      <c r="H47" s="88" t="s">
        <v>206</v>
      </c>
      <c r="I47" s="29" t="s">
        <v>14</v>
      </c>
      <c r="J47" s="47" t="s">
        <v>385</v>
      </c>
      <c r="K47" s="47" t="s">
        <v>92</v>
      </c>
      <c r="L47" s="423" t="s">
        <v>2170</v>
      </c>
      <c r="M47" s="27" t="s">
        <v>386</v>
      </c>
      <c r="N47" s="27" t="s">
        <v>58</v>
      </c>
      <c r="O47" s="423" t="s">
        <v>2165</v>
      </c>
      <c r="P47" s="27" t="s">
        <v>387</v>
      </c>
      <c r="Q47" s="27" t="s">
        <v>23</v>
      </c>
      <c r="R47" s="423" t="s">
        <v>2160</v>
      </c>
      <c r="S47" s="30" t="s">
        <v>388</v>
      </c>
    </row>
    <row r="48" spans="1:19" ht="15" x14ac:dyDescent="0.25">
      <c r="A48" s="47" t="s">
        <v>273</v>
      </c>
      <c r="B48" s="52" t="s">
        <v>13</v>
      </c>
      <c r="C48" s="27" t="s">
        <v>14</v>
      </c>
      <c r="D48" s="106">
        <v>49</v>
      </c>
      <c r="E48" s="106" t="s">
        <v>2169</v>
      </c>
      <c r="F48" s="55" t="s">
        <v>88</v>
      </c>
      <c r="G48" s="55" t="s">
        <v>390</v>
      </c>
      <c r="H48" s="55" t="s">
        <v>391</v>
      </c>
      <c r="I48" s="29" t="s">
        <v>14</v>
      </c>
      <c r="J48" s="27" t="s">
        <v>392</v>
      </c>
      <c r="K48" s="47" t="s">
        <v>92</v>
      </c>
      <c r="L48" s="423" t="s">
        <v>2170</v>
      </c>
      <c r="M48" s="27" t="s">
        <v>393</v>
      </c>
      <c r="N48" s="27" t="s">
        <v>21</v>
      </c>
      <c r="O48" s="423" t="s">
        <v>2159</v>
      </c>
      <c r="P48" s="27" t="s">
        <v>394</v>
      </c>
      <c r="Q48" s="27" t="s">
        <v>23</v>
      </c>
      <c r="R48" s="423" t="s">
        <v>2160</v>
      </c>
      <c r="S48" s="30">
        <v>6542853</v>
      </c>
    </row>
    <row r="49" spans="1:19" ht="15" x14ac:dyDescent="0.25">
      <c r="A49" s="51" t="s">
        <v>273</v>
      </c>
      <c r="B49" s="52" t="s">
        <v>13</v>
      </c>
      <c r="C49" s="30" t="s">
        <v>14</v>
      </c>
      <c r="D49" s="106">
        <v>50</v>
      </c>
      <c r="E49" s="106" t="s">
        <v>2164</v>
      </c>
      <c r="F49" s="92" t="s">
        <v>53</v>
      </c>
      <c r="G49" s="88" t="s">
        <v>396</v>
      </c>
      <c r="H49" s="45" t="s">
        <v>397</v>
      </c>
      <c r="I49" s="29" t="s">
        <v>14</v>
      </c>
      <c r="J49" s="27" t="s">
        <v>398</v>
      </c>
      <c r="K49" s="47" t="s">
        <v>92</v>
      </c>
      <c r="L49" s="423" t="s">
        <v>2170</v>
      </c>
      <c r="M49" s="27" t="s">
        <v>399</v>
      </c>
      <c r="N49" s="27" t="s">
        <v>21</v>
      </c>
      <c r="O49" s="423" t="s">
        <v>2159</v>
      </c>
      <c r="P49" s="30" t="s">
        <v>400</v>
      </c>
      <c r="Q49" s="27" t="s">
        <v>23</v>
      </c>
      <c r="R49" s="423" t="s">
        <v>2160</v>
      </c>
      <c r="S49" s="27" t="s">
        <v>401</v>
      </c>
    </row>
    <row r="50" spans="1:19" ht="15" x14ac:dyDescent="0.25">
      <c r="A50" s="51" t="s">
        <v>273</v>
      </c>
      <c r="B50" s="52" t="s">
        <v>13</v>
      </c>
      <c r="C50" s="30" t="s">
        <v>14</v>
      </c>
      <c r="D50" s="114">
        <v>51</v>
      </c>
      <c r="E50" s="114" t="s">
        <v>2161</v>
      </c>
      <c r="F50" s="92" t="s">
        <v>34</v>
      </c>
      <c r="G50" s="88" t="s">
        <v>403</v>
      </c>
      <c r="H50" s="45" t="s">
        <v>404</v>
      </c>
      <c r="I50" s="29" t="s">
        <v>14</v>
      </c>
      <c r="J50" s="47" t="s">
        <v>405</v>
      </c>
      <c r="K50" s="47" t="s">
        <v>92</v>
      </c>
      <c r="L50" s="423" t="s">
        <v>2170</v>
      </c>
      <c r="M50" s="27" t="s">
        <v>406</v>
      </c>
      <c r="N50" s="27" t="s">
        <v>21</v>
      </c>
      <c r="O50" s="423" t="s">
        <v>2159</v>
      </c>
      <c r="P50" s="27" t="s">
        <v>407</v>
      </c>
      <c r="Q50" s="30" t="s">
        <v>23</v>
      </c>
      <c r="R50" s="423" t="s">
        <v>2160</v>
      </c>
      <c r="S50" s="25" t="s">
        <v>408</v>
      </c>
    </row>
    <row r="51" spans="1:19" ht="15" x14ac:dyDescent="0.25">
      <c r="A51" s="51" t="s">
        <v>273</v>
      </c>
      <c r="B51" s="52" t="s">
        <v>13</v>
      </c>
      <c r="C51" s="30" t="s">
        <v>14</v>
      </c>
      <c r="D51" s="106">
        <v>52</v>
      </c>
      <c r="E51" s="106" t="s">
        <v>2185</v>
      </c>
      <c r="F51" s="92" t="s">
        <v>287</v>
      </c>
      <c r="G51" s="88" t="s">
        <v>410</v>
      </c>
      <c r="H51" s="45" t="s">
        <v>411</v>
      </c>
      <c r="I51" s="29" t="s">
        <v>14</v>
      </c>
      <c r="J51" s="27" t="s">
        <v>412</v>
      </c>
      <c r="K51" s="47" t="s">
        <v>92</v>
      </c>
      <c r="L51" s="423" t="s">
        <v>2170</v>
      </c>
      <c r="M51" s="47" t="s">
        <v>413</v>
      </c>
      <c r="N51" s="27" t="s">
        <v>21</v>
      </c>
      <c r="O51" s="423" t="s">
        <v>2159</v>
      </c>
      <c r="P51" s="27" t="s">
        <v>414</v>
      </c>
      <c r="Q51" s="27" t="s">
        <v>23</v>
      </c>
      <c r="R51" s="423" t="s">
        <v>2160</v>
      </c>
      <c r="S51" s="30" t="s">
        <v>415</v>
      </c>
    </row>
    <row r="52" spans="1:19" ht="15" x14ac:dyDescent="0.25">
      <c r="A52" s="47" t="s">
        <v>273</v>
      </c>
      <c r="B52" s="52" t="s">
        <v>13</v>
      </c>
      <c r="C52" s="27" t="s">
        <v>14</v>
      </c>
      <c r="D52" s="106">
        <v>53</v>
      </c>
      <c r="E52" s="106" t="s">
        <v>2161</v>
      </c>
      <c r="F52" s="92" t="s">
        <v>34</v>
      </c>
      <c r="G52" s="88" t="s">
        <v>417</v>
      </c>
      <c r="H52" s="45" t="s">
        <v>98</v>
      </c>
      <c r="I52" s="29" t="s">
        <v>14</v>
      </c>
      <c r="J52" s="27" t="s">
        <v>418</v>
      </c>
      <c r="K52" s="47" t="s">
        <v>92</v>
      </c>
      <c r="L52" s="423" t="s">
        <v>2170</v>
      </c>
      <c r="M52" s="27" t="s">
        <v>419</v>
      </c>
      <c r="N52" s="27" t="s">
        <v>21</v>
      </c>
      <c r="O52" s="423" t="s">
        <v>2159</v>
      </c>
      <c r="P52" s="27" t="s">
        <v>420</v>
      </c>
      <c r="Q52" s="27" t="s">
        <v>23</v>
      </c>
      <c r="R52" s="423" t="s">
        <v>2160</v>
      </c>
      <c r="S52" s="30">
        <v>6550542</v>
      </c>
    </row>
    <row r="53" spans="1:19" ht="15" x14ac:dyDescent="0.25">
      <c r="A53" s="51" t="s">
        <v>273</v>
      </c>
      <c r="B53" s="52" t="s">
        <v>13</v>
      </c>
      <c r="C53" s="30" t="s">
        <v>14</v>
      </c>
      <c r="D53" s="106">
        <v>54</v>
      </c>
      <c r="E53" s="106" t="s">
        <v>2161</v>
      </c>
      <c r="F53" s="45" t="s">
        <v>34</v>
      </c>
      <c r="G53" s="50" t="s">
        <v>425</v>
      </c>
      <c r="H53" s="45" t="s">
        <v>426</v>
      </c>
      <c r="I53" s="29" t="s">
        <v>14</v>
      </c>
      <c r="J53" s="27" t="s">
        <v>427</v>
      </c>
      <c r="K53" s="47" t="s">
        <v>92</v>
      </c>
      <c r="L53" s="423" t="s">
        <v>2170</v>
      </c>
      <c r="M53" s="27" t="s">
        <v>428</v>
      </c>
      <c r="N53" s="27" t="s">
        <v>21</v>
      </c>
      <c r="O53" s="423" t="s">
        <v>2159</v>
      </c>
      <c r="P53" s="27" t="s">
        <v>429</v>
      </c>
      <c r="Q53" s="27" t="s">
        <v>23</v>
      </c>
      <c r="R53" s="423" t="s">
        <v>2160</v>
      </c>
      <c r="S53" s="30" t="s">
        <v>430</v>
      </c>
    </row>
    <row r="54" spans="1:19" ht="15" x14ac:dyDescent="0.25">
      <c r="A54" s="51" t="s">
        <v>432</v>
      </c>
      <c r="B54" s="52" t="s">
        <v>13</v>
      </c>
      <c r="C54" s="30" t="s">
        <v>14</v>
      </c>
      <c r="D54" s="106">
        <v>55</v>
      </c>
      <c r="E54" s="106" t="s">
        <v>2182</v>
      </c>
      <c r="F54" s="92" t="s">
        <v>265</v>
      </c>
      <c r="G54" s="88" t="s">
        <v>433</v>
      </c>
      <c r="H54" s="45" t="s">
        <v>206</v>
      </c>
      <c r="I54" s="47" t="s">
        <v>14</v>
      </c>
      <c r="J54" s="47" t="s">
        <v>434</v>
      </c>
      <c r="K54" s="27" t="s">
        <v>19</v>
      </c>
      <c r="L54" s="423" t="s">
        <v>2181</v>
      </c>
      <c r="M54" s="27" t="s">
        <v>435</v>
      </c>
      <c r="N54" s="27" t="s">
        <v>21</v>
      </c>
      <c r="O54" s="423" t="s">
        <v>2159</v>
      </c>
      <c r="P54" s="27" t="s">
        <v>436</v>
      </c>
      <c r="Q54" s="27" t="s">
        <v>23</v>
      </c>
      <c r="R54" s="423" t="s">
        <v>2160</v>
      </c>
      <c r="S54" s="30" t="s">
        <v>437</v>
      </c>
    </row>
    <row r="55" spans="1:19" ht="15" x14ac:dyDescent="0.25">
      <c r="A55" s="51" t="s">
        <v>432</v>
      </c>
      <c r="B55" s="52" t="s">
        <v>13</v>
      </c>
      <c r="C55" s="30" t="s">
        <v>14</v>
      </c>
      <c r="D55" s="114">
        <v>56</v>
      </c>
      <c r="E55" s="114" t="s">
        <v>2157</v>
      </c>
      <c r="F55" s="92" t="s">
        <v>15</v>
      </c>
      <c r="G55" s="88" t="s">
        <v>439</v>
      </c>
      <c r="H55" s="45" t="s">
        <v>440</v>
      </c>
      <c r="I55" s="29" t="s">
        <v>14</v>
      </c>
      <c r="J55" s="47" t="s">
        <v>441</v>
      </c>
      <c r="K55" s="47" t="s">
        <v>276</v>
      </c>
      <c r="L55" s="423" t="s">
        <v>2184</v>
      </c>
      <c r="M55" s="27" t="s">
        <v>442</v>
      </c>
      <c r="N55" s="27" t="s">
        <v>21</v>
      </c>
      <c r="O55" s="423" t="s">
        <v>2159</v>
      </c>
      <c r="P55" s="39">
        <v>278446</v>
      </c>
      <c r="Q55" s="27" t="s">
        <v>23</v>
      </c>
      <c r="R55" s="423" t="s">
        <v>2160</v>
      </c>
      <c r="S55" s="30" t="s">
        <v>443</v>
      </c>
    </row>
    <row r="56" spans="1:19" ht="15" x14ac:dyDescent="0.25">
      <c r="A56" s="51" t="s">
        <v>432</v>
      </c>
      <c r="B56" s="51" t="s">
        <v>13</v>
      </c>
      <c r="C56" s="30" t="s">
        <v>14</v>
      </c>
      <c r="D56" s="106">
        <v>57</v>
      </c>
      <c r="E56" s="106" t="s">
        <v>2186</v>
      </c>
      <c r="F56" s="92" t="s">
        <v>445</v>
      </c>
      <c r="G56" s="88" t="s">
        <v>446</v>
      </c>
      <c r="H56" s="45" t="s">
        <v>447</v>
      </c>
      <c r="I56" s="29" t="s">
        <v>14</v>
      </c>
      <c r="J56" s="27" t="s">
        <v>448</v>
      </c>
      <c r="K56" s="47" t="s">
        <v>19</v>
      </c>
      <c r="L56" s="423" t="s">
        <v>2181</v>
      </c>
      <c r="M56" s="27" t="s">
        <v>449</v>
      </c>
      <c r="N56" s="27" t="s">
        <v>21</v>
      </c>
      <c r="O56" s="423" t="s">
        <v>2159</v>
      </c>
      <c r="P56" s="27" t="s">
        <v>450</v>
      </c>
      <c r="Q56" s="27" t="s">
        <v>23</v>
      </c>
      <c r="R56" s="423" t="s">
        <v>2160</v>
      </c>
      <c r="S56" s="30" t="s">
        <v>451</v>
      </c>
    </row>
    <row r="57" spans="1:19" ht="15" x14ac:dyDescent="0.25">
      <c r="A57" s="51" t="s">
        <v>432</v>
      </c>
      <c r="B57" s="51" t="s">
        <v>13</v>
      </c>
      <c r="C57" s="30" t="s">
        <v>14</v>
      </c>
      <c r="D57" s="106">
        <v>58</v>
      </c>
      <c r="E57" s="106" t="s">
        <v>2161</v>
      </c>
      <c r="F57" s="92" t="s">
        <v>34</v>
      </c>
      <c r="G57" s="88" t="s">
        <v>453</v>
      </c>
      <c r="H57" s="88" t="s">
        <v>182</v>
      </c>
      <c r="I57" s="29" t="s">
        <v>14</v>
      </c>
      <c r="J57" s="47" t="s">
        <v>454</v>
      </c>
      <c r="K57" s="47" t="s">
        <v>92</v>
      </c>
      <c r="L57" s="423" t="s">
        <v>2170</v>
      </c>
      <c r="M57" s="27" t="s">
        <v>455</v>
      </c>
      <c r="N57" s="27" t="s">
        <v>21</v>
      </c>
      <c r="O57" s="423" t="s">
        <v>2159</v>
      </c>
      <c r="P57" s="27" t="s">
        <v>456</v>
      </c>
      <c r="Q57" s="27" t="s">
        <v>23</v>
      </c>
      <c r="R57" s="423" t="s">
        <v>2160</v>
      </c>
      <c r="S57" s="30" t="s">
        <v>457</v>
      </c>
    </row>
    <row r="58" spans="1:19" ht="15" x14ac:dyDescent="0.25">
      <c r="A58" s="51" t="s">
        <v>432</v>
      </c>
      <c r="B58" s="51" t="s">
        <v>13</v>
      </c>
      <c r="C58" s="30" t="s">
        <v>14</v>
      </c>
      <c r="D58" s="106">
        <v>59</v>
      </c>
      <c r="E58" s="106" t="s">
        <v>2162</v>
      </c>
      <c r="F58" s="79" t="s">
        <v>44</v>
      </c>
      <c r="G58" s="88" t="s">
        <v>459</v>
      </c>
      <c r="H58" s="45" t="s">
        <v>460</v>
      </c>
      <c r="I58" s="29" t="s">
        <v>14</v>
      </c>
      <c r="J58" s="90" t="s">
        <v>461</v>
      </c>
      <c r="K58" s="47" t="s">
        <v>92</v>
      </c>
      <c r="L58" s="423" t="s">
        <v>2170</v>
      </c>
      <c r="M58" s="47" t="s">
        <v>462</v>
      </c>
      <c r="N58" s="27" t="s">
        <v>21</v>
      </c>
      <c r="O58" s="423" t="s">
        <v>2159</v>
      </c>
      <c r="P58" s="27" t="s">
        <v>463</v>
      </c>
      <c r="Q58" s="27" t="s">
        <v>23</v>
      </c>
      <c r="R58" s="423" t="s">
        <v>2160</v>
      </c>
      <c r="S58" s="30" t="s">
        <v>464</v>
      </c>
    </row>
    <row r="59" spans="1:19" ht="15" x14ac:dyDescent="0.25">
      <c r="A59" s="51" t="s">
        <v>432</v>
      </c>
      <c r="B59" s="51" t="s">
        <v>13</v>
      </c>
      <c r="C59" s="30" t="s">
        <v>14</v>
      </c>
      <c r="D59" s="114">
        <v>60</v>
      </c>
      <c r="E59" s="114" t="s">
        <v>2169</v>
      </c>
      <c r="F59" s="89" t="s">
        <v>88</v>
      </c>
      <c r="G59" s="119" t="s">
        <v>466</v>
      </c>
      <c r="H59" s="45" t="s">
        <v>467</v>
      </c>
      <c r="I59" s="29" t="s">
        <v>14</v>
      </c>
      <c r="J59" s="47" t="s">
        <v>468</v>
      </c>
      <c r="K59" s="47" t="s">
        <v>92</v>
      </c>
      <c r="L59" s="423" t="s">
        <v>2170</v>
      </c>
      <c r="M59" s="27" t="s">
        <v>469</v>
      </c>
      <c r="N59" s="27" t="s">
        <v>21</v>
      </c>
      <c r="O59" s="423" t="s">
        <v>2159</v>
      </c>
      <c r="P59" s="47" t="s">
        <v>470</v>
      </c>
      <c r="Q59" s="47" t="s">
        <v>23</v>
      </c>
      <c r="R59" s="423" t="s">
        <v>2160</v>
      </c>
      <c r="S59" s="30" t="s">
        <v>471</v>
      </c>
    </row>
    <row r="60" spans="1:19" ht="15" x14ac:dyDescent="0.25">
      <c r="A60" s="51" t="s">
        <v>432</v>
      </c>
      <c r="B60" s="51" t="s">
        <v>13</v>
      </c>
      <c r="C60" s="30" t="s">
        <v>14</v>
      </c>
      <c r="D60" s="114">
        <v>61</v>
      </c>
      <c r="E60" s="114" t="s">
        <v>2169</v>
      </c>
      <c r="F60" s="120" t="s">
        <v>88</v>
      </c>
      <c r="G60" s="55" t="s">
        <v>473</v>
      </c>
      <c r="H60" s="45" t="s">
        <v>474</v>
      </c>
      <c r="I60" s="29" t="s">
        <v>14</v>
      </c>
      <c r="J60" s="47" t="s">
        <v>475</v>
      </c>
      <c r="K60" s="47" t="s">
        <v>92</v>
      </c>
      <c r="L60" s="423" t="s">
        <v>2170</v>
      </c>
      <c r="M60" s="27" t="s">
        <v>476</v>
      </c>
      <c r="N60" s="27" t="s">
        <v>21</v>
      </c>
      <c r="O60" s="423" t="s">
        <v>2159</v>
      </c>
      <c r="P60" s="47" t="s">
        <v>477</v>
      </c>
      <c r="Q60" s="30" t="s">
        <v>23</v>
      </c>
      <c r="R60" s="423" t="s">
        <v>2160</v>
      </c>
      <c r="S60" s="51" t="s">
        <v>478</v>
      </c>
    </row>
    <row r="61" spans="1:19" ht="15" x14ac:dyDescent="0.25">
      <c r="A61" s="47" t="s">
        <v>480</v>
      </c>
      <c r="B61" s="51" t="s">
        <v>481</v>
      </c>
      <c r="C61" s="30" t="s">
        <v>14</v>
      </c>
      <c r="D61" s="114">
        <v>62</v>
      </c>
      <c r="E61" s="114"/>
      <c r="F61" s="120" t="s">
        <v>88</v>
      </c>
      <c r="G61" s="55" t="s">
        <v>711</v>
      </c>
      <c r="H61" s="45" t="s">
        <v>712</v>
      </c>
      <c r="I61" s="29" t="s">
        <v>14</v>
      </c>
      <c r="J61" s="47" t="s">
        <v>482</v>
      </c>
      <c r="K61" s="47" t="s">
        <v>92</v>
      </c>
      <c r="L61" s="423" t="s">
        <v>2170</v>
      </c>
      <c r="M61" s="27" t="s">
        <v>483</v>
      </c>
      <c r="N61" s="27" t="s">
        <v>21</v>
      </c>
      <c r="O61" s="423" t="s">
        <v>2159</v>
      </c>
      <c r="P61" s="47" t="s">
        <v>484</v>
      </c>
      <c r="Q61" s="30" t="s">
        <v>23</v>
      </c>
      <c r="R61" s="423" t="s">
        <v>2160</v>
      </c>
      <c r="S61" s="51"/>
    </row>
    <row r="62" spans="1:19" ht="15" x14ac:dyDescent="0.25">
      <c r="A62" s="22" t="s">
        <v>480</v>
      </c>
      <c r="B62" s="109" t="s">
        <v>13</v>
      </c>
      <c r="C62" s="15" t="s">
        <v>14</v>
      </c>
      <c r="D62" s="121">
        <v>63</v>
      </c>
      <c r="E62" s="121" t="s">
        <v>2186</v>
      </c>
      <c r="F62" s="122" t="s">
        <v>445</v>
      </c>
      <c r="G62" s="123" t="s">
        <v>486</v>
      </c>
      <c r="H62" s="124" t="s">
        <v>487</v>
      </c>
      <c r="I62" s="19" t="s">
        <v>14</v>
      </c>
      <c r="J62" s="20" t="s">
        <v>488</v>
      </c>
      <c r="K62" s="20" t="s">
        <v>92</v>
      </c>
      <c r="L62" s="423" t="s">
        <v>2170</v>
      </c>
      <c r="M62" s="20" t="s">
        <v>489</v>
      </c>
      <c r="N62" s="14" t="s">
        <v>21</v>
      </c>
      <c r="O62" s="423" t="s">
        <v>2159</v>
      </c>
      <c r="P62" s="20" t="s">
        <v>490</v>
      </c>
      <c r="Q62" s="14" t="s">
        <v>23</v>
      </c>
      <c r="R62" s="423" t="s">
        <v>2160</v>
      </c>
      <c r="S62" s="109" t="s">
        <v>491</v>
      </c>
    </row>
    <row r="63" spans="1:19" ht="15" x14ac:dyDescent="0.25">
      <c r="A63" s="25" t="s">
        <v>480</v>
      </c>
      <c r="B63" s="51" t="s">
        <v>13</v>
      </c>
      <c r="C63" s="30" t="s">
        <v>14</v>
      </c>
      <c r="D63" s="106">
        <v>64</v>
      </c>
      <c r="E63" s="106" t="s">
        <v>2169</v>
      </c>
      <c r="F63" s="45" t="s">
        <v>88</v>
      </c>
      <c r="G63" s="50" t="s">
        <v>493</v>
      </c>
      <c r="H63" s="45" t="s">
        <v>494</v>
      </c>
      <c r="I63" s="29" t="s">
        <v>14</v>
      </c>
      <c r="J63" s="27" t="s">
        <v>495</v>
      </c>
      <c r="K63" s="47" t="s">
        <v>92</v>
      </c>
      <c r="L63" s="423" t="s">
        <v>2170</v>
      </c>
      <c r="M63" s="47" t="s">
        <v>496</v>
      </c>
      <c r="N63" s="27" t="s">
        <v>21</v>
      </c>
      <c r="O63" s="423" t="s">
        <v>2159</v>
      </c>
      <c r="P63" s="27" t="s">
        <v>497</v>
      </c>
      <c r="Q63" s="30" t="s">
        <v>23</v>
      </c>
      <c r="R63" s="423" t="s">
        <v>2160</v>
      </c>
      <c r="S63" s="25" t="s">
        <v>498</v>
      </c>
    </row>
    <row r="64" spans="1:19" ht="15" x14ac:dyDescent="0.25">
      <c r="A64" s="25" t="s">
        <v>480</v>
      </c>
      <c r="B64" s="51" t="s">
        <v>481</v>
      </c>
      <c r="C64" s="30" t="s">
        <v>14</v>
      </c>
      <c r="D64" s="114">
        <v>65</v>
      </c>
      <c r="E64" s="114"/>
      <c r="F64" s="45" t="s">
        <v>44</v>
      </c>
      <c r="G64" s="50" t="s">
        <v>500</v>
      </c>
      <c r="H64" s="88" t="s">
        <v>501</v>
      </c>
      <c r="I64" s="29" t="s">
        <v>14</v>
      </c>
      <c r="J64" s="47" t="s">
        <v>502</v>
      </c>
      <c r="K64" s="47" t="s">
        <v>92</v>
      </c>
      <c r="L64" s="423" t="s">
        <v>2170</v>
      </c>
      <c r="M64" s="27" t="s">
        <v>503</v>
      </c>
      <c r="N64" s="27" t="s">
        <v>21</v>
      </c>
      <c r="O64" s="423" t="s">
        <v>2159</v>
      </c>
      <c r="P64" s="27" t="s">
        <v>504</v>
      </c>
      <c r="Q64" s="27" t="s">
        <v>23</v>
      </c>
      <c r="R64" s="423" t="s">
        <v>2160</v>
      </c>
      <c r="S64" s="51"/>
    </row>
    <row r="65" spans="1:19" ht="15" x14ac:dyDescent="0.25">
      <c r="A65" s="22" t="s">
        <v>480</v>
      </c>
      <c r="B65" s="109" t="s">
        <v>13</v>
      </c>
      <c r="C65" s="15" t="s">
        <v>14</v>
      </c>
      <c r="D65" s="121">
        <v>66</v>
      </c>
      <c r="E65" s="121" t="s">
        <v>2182</v>
      </c>
      <c r="F65" s="122" t="s">
        <v>265</v>
      </c>
      <c r="G65" s="123" t="s">
        <v>506</v>
      </c>
      <c r="H65" s="17" t="s">
        <v>507</v>
      </c>
      <c r="I65" s="19" t="s">
        <v>14</v>
      </c>
      <c r="J65" s="20" t="s">
        <v>508</v>
      </c>
      <c r="K65" s="20" t="s">
        <v>92</v>
      </c>
      <c r="L65" s="423" t="s">
        <v>2170</v>
      </c>
      <c r="M65" s="14" t="s">
        <v>509</v>
      </c>
      <c r="N65" s="14" t="s">
        <v>21</v>
      </c>
      <c r="O65" s="423" t="s">
        <v>2159</v>
      </c>
      <c r="P65" s="20" t="s">
        <v>510</v>
      </c>
      <c r="Q65" s="14" t="s">
        <v>23</v>
      </c>
      <c r="R65" s="423" t="s">
        <v>2160</v>
      </c>
      <c r="S65" s="127">
        <v>6526515</v>
      </c>
    </row>
    <row r="66" spans="1:19" ht="15" x14ac:dyDescent="0.25">
      <c r="A66" s="25" t="s">
        <v>480</v>
      </c>
      <c r="B66" s="51" t="s">
        <v>481</v>
      </c>
      <c r="C66" s="30" t="s">
        <v>14</v>
      </c>
      <c r="D66" s="114">
        <v>67</v>
      </c>
      <c r="E66" s="114"/>
      <c r="F66" s="79" t="s">
        <v>88</v>
      </c>
      <c r="G66" s="119" t="s">
        <v>512</v>
      </c>
      <c r="H66" s="88" t="s">
        <v>513</v>
      </c>
      <c r="I66" s="29" t="s">
        <v>14</v>
      </c>
      <c r="J66" s="47" t="s">
        <v>514</v>
      </c>
      <c r="K66" s="47" t="s">
        <v>92</v>
      </c>
      <c r="L66" s="423" t="s">
        <v>2170</v>
      </c>
      <c r="M66" s="27" t="s">
        <v>515</v>
      </c>
      <c r="N66" s="27" t="s">
        <v>58</v>
      </c>
      <c r="O66" s="423" t="s">
        <v>2165</v>
      </c>
      <c r="P66" s="47" t="s">
        <v>516</v>
      </c>
      <c r="Q66" s="27" t="s">
        <v>23</v>
      </c>
      <c r="R66" s="423" t="s">
        <v>2160</v>
      </c>
    </row>
    <row r="67" spans="1:19" ht="15" x14ac:dyDescent="0.25">
      <c r="A67" s="90" t="s">
        <v>480</v>
      </c>
      <c r="B67" s="51" t="s">
        <v>481</v>
      </c>
      <c r="C67" s="30" t="s">
        <v>14</v>
      </c>
      <c r="D67" s="114">
        <v>68</v>
      </c>
      <c r="E67" s="114"/>
      <c r="F67" s="45" t="s">
        <v>44</v>
      </c>
      <c r="G67" s="50" t="s">
        <v>518</v>
      </c>
      <c r="H67" s="88" t="s">
        <v>519</v>
      </c>
      <c r="I67" s="29" t="s">
        <v>14</v>
      </c>
      <c r="J67" s="47" t="s">
        <v>520</v>
      </c>
      <c r="K67" s="47" t="s">
        <v>92</v>
      </c>
      <c r="L67" s="423" t="s">
        <v>2170</v>
      </c>
      <c r="M67" s="27" t="s">
        <v>521</v>
      </c>
      <c r="N67" s="27" t="s">
        <v>58</v>
      </c>
      <c r="O67" s="423" t="s">
        <v>2165</v>
      </c>
      <c r="P67" s="47" t="s">
        <v>522</v>
      </c>
      <c r="Q67" s="30" t="s">
        <v>23</v>
      </c>
      <c r="R67" s="423" t="s">
        <v>2160</v>
      </c>
    </row>
    <row r="68" spans="1:19" ht="15" x14ac:dyDescent="0.25">
      <c r="A68" s="83" t="s">
        <v>524</v>
      </c>
      <c r="B68" s="109" t="s">
        <v>13</v>
      </c>
      <c r="C68" s="15" t="s">
        <v>14</v>
      </c>
      <c r="D68" s="121">
        <v>69</v>
      </c>
      <c r="E68" s="121" t="s">
        <v>2186</v>
      </c>
      <c r="F68" s="128" t="s">
        <v>445</v>
      </c>
      <c r="G68" s="128" t="s">
        <v>525</v>
      </c>
      <c r="H68" s="128" t="s">
        <v>507</v>
      </c>
      <c r="I68" s="19" t="s">
        <v>14</v>
      </c>
      <c r="J68" s="20" t="s">
        <v>526</v>
      </c>
      <c r="K68" s="20" t="s">
        <v>92</v>
      </c>
      <c r="L68" s="423" t="s">
        <v>2170</v>
      </c>
      <c r="M68" s="14" t="s">
        <v>527</v>
      </c>
      <c r="N68" s="14" t="s">
        <v>58</v>
      </c>
      <c r="O68" s="423" t="s">
        <v>2165</v>
      </c>
      <c r="P68" s="20" t="s">
        <v>528</v>
      </c>
      <c r="Q68" s="15" t="s">
        <v>23</v>
      </c>
      <c r="R68" s="423" t="s">
        <v>2160</v>
      </c>
      <c r="S68" s="15" t="s">
        <v>529</v>
      </c>
    </row>
    <row r="69" spans="1:19" ht="15" x14ac:dyDescent="0.25">
      <c r="A69" s="52" t="s">
        <v>524</v>
      </c>
      <c r="B69" s="51" t="s">
        <v>13</v>
      </c>
      <c r="C69" s="30" t="s">
        <v>14</v>
      </c>
      <c r="D69" s="114">
        <v>70</v>
      </c>
      <c r="E69" s="114" t="s">
        <v>2169</v>
      </c>
      <c r="F69" s="55" t="s">
        <v>88</v>
      </c>
      <c r="G69" s="55" t="s">
        <v>531</v>
      </c>
      <c r="H69" s="55" t="s">
        <v>532</v>
      </c>
      <c r="I69" s="29" t="s">
        <v>14</v>
      </c>
      <c r="J69" s="47" t="s">
        <v>533</v>
      </c>
      <c r="K69" s="47" t="s">
        <v>92</v>
      </c>
      <c r="L69" s="423" t="s">
        <v>2170</v>
      </c>
      <c r="M69" s="27" t="s">
        <v>534</v>
      </c>
      <c r="N69" s="27" t="s">
        <v>21</v>
      </c>
      <c r="O69" s="423" t="s">
        <v>2159</v>
      </c>
      <c r="P69" s="47" t="s">
        <v>535</v>
      </c>
      <c r="Q69" s="27" t="s">
        <v>23</v>
      </c>
      <c r="R69" s="423" t="s">
        <v>2160</v>
      </c>
      <c r="S69" s="30" t="s">
        <v>536</v>
      </c>
    </row>
    <row r="70" spans="1:19" ht="15" x14ac:dyDescent="0.25">
      <c r="A70" s="52" t="s">
        <v>524</v>
      </c>
      <c r="B70" s="51" t="s">
        <v>13</v>
      </c>
      <c r="C70" s="30" t="s">
        <v>14</v>
      </c>
      <c r="D70" s="114">
        <v>71</v>
      </c>
      <c r="E70" s="114" t="s">
        <v>2169</v>
      </c>
      <c r="F70" s="92" t="s">
        <v>88</v>
      </c>
      <c r="G70" s="88" t="s">
        <v>542</v>
      </c>
      <c r="H70" s="45" t="s">
        <v>543</v>
      </c>
      <c r="I70" s="29" t="s">
        <v>14</v>
      </c>
      <c r="J70" s="47" t="s">
        <v>544</v>
      </c>
      <c r="K70" s="47" t="s">
        <v>92</v>
      </c>
      <c r="L70" s="423" t="s">
        <v>2170</v>
      </c>
      <c r="M70" s="27" t="s">
        <v>545</v>
      </c>
      <c r="N70" s="27" t="s">
        <v>21</v>
      </c>
      <c r="O70" s="423" t="s">
        <v>2159</v>
      </c>
      <c r="P70" s="47" t="s">
        <v>546</v>
      </c>
      <c r="Q70" s="27" t="s">
        <v>23</v>
      </c>
      <c r="R70" s="423" t="s">
        <v>2160</v>
      </c>
      <c r="S70" s="51" t="s">
        <v>547</v>
      </c>
    </row>
    <row r="71" spans="1:19" ht="15" x14ac:dyDescent="0.25">
      <c r="A71" s="90" t="s">
        <v>524</v>
      </c>
      <c r="B71" s="51" t="s">
        <v>13</v>
      </c>
      <c r="C71" s="30" t="s">
        <v>14</v>
      </c>
      <c r="D71" s="114">
        <v>72</v>
      </c>
      <c r="E71" s="114" t="s">
        <v>2187</v>
      </c>
      <c r="F71" s="55" t="s">
        <v>549</v>
      </c>
      <c r="G71" s="55" t="s">
        <v>550</v>
      </c>
      <c r="H71" s="55" t="s">
        <v>551</v>
      </c>
      <c r="I71" s="29" t="s">
        <v>14</v>
      </c>
      <c r="J71" s="47" t="s">
        <v>552</v>
      </c>
      <c r="K71" s="47" t="s">
        <v>92</v>
      </c>
      <c r="L71" s="423" t="s">
        <v>2170</v>
      </c>
      <c r="M71" s="27" t="s">
        <v>553</v>
      </c>
      <c r="N71" s="27" t="s">
        <v>21</v>
      </c>
      <c r="O71" s="423" t="s">
        <v>2159</v>
      </c>
      <c r="P71" s="47" t="s">
        <v>554</v>
      </c>
      <c r="Q71" s="30" t="s">
        <v>23</v>
      </c>
      <c r="R71" s="423" t="s">
        <v>2160</v>
      </c>
      <c r="S71" s="30">
        <v>74104548</v>
      </c>
    </row>
    <row r="72" spans="1:19" ht="15" x14ac:dyDescent="0.25">
      <c r="A72" s="52" t="s">
        <v>524</v>
      </c>
      <c r="B72" s="51" t="s">
        <v>13</v>
      </c>
      <c r="C72" s="30" t="s">
        <v>14</v>
      </c>
      <c r="D72" s="114">
        <v>73</v>
      </c>
      <c r="E72" s="114" t="s">
        <v>2164</v>
      </c>
      <c r="F72" s="45" t="s">
        <v>53</v>
      </c>
      <c r="G72" s="50" t="s">
        <v>558</v>
      </c>
      <c r="H72" s="88" t="s">
        <v>559</v>
      </c>
      <c r="I72" s="29" t="s">
        <v>14</v>
      </c>
      <c r="J72" s="47" t="s">
        <v>560</v>
      </c>
      <c r="K72" s="47" t="s">
        <v>92</v>
      </c>
      <c r="L72" s="423" t="s">
        <v>2170</v>
      </c>
      <c r="M72" s="27" t="s">
        <v>561</v>
      </c>
      <c r="N72" s="27" t="s">
        <v>58</v>
      </c>
      <c r="O72" s="423" t="s">
        <v>2165</v>
      </c>
      <c r="P72" s="47" t="s">
        <v>562</v>
      </c>
      <c r="Q72" s="30" t="s">
        <v>23</v>
      </c>
      <c r="R72" s="423" t="s">
        <v>2160</v>
      </c>
      <c r="S72" s="51" t="s">
        <v>563</v>
      </c>
    </row>
    <row r="73" spans="1:19" ht="15" x14ac:dyDescent="0.25">
      <c r="A73" s="52" t="s">
        <v>524</v>
      </c>
      <c r="B73" s="51" t="s">
        <v>481</v>
      </c>
      <c r="C73" s="30" t="s">
        <v>14</v>
      </c>
      <c r="D73" s="106">
        <v>74</v>
      </c>
      <c r="E73" s="106"/>
      <c r="F73" s="120" t="s">
        <v>88</v>
      </c>
      <c r="G73" s="55" t="s">
        <v>473</v>
      </c>
      <c r="H73" s="45" t="s">
        <v>565</v>
      </c>
      <c r="I73" s="29" t="s">
        <v>14</v>
      </c>
      <c r="J73" s="27" t="s">
        <v>566</v>
      </c>
      <c r="K73" s="47" t="s">
        <v>92</v>
      </c>
      <c r="L73" s="423" t="s">
        <v>2170</v>
      </c>
      <c r="M73" s="27" t="s">
        <v>567</v>
      </c>
      <c r="N73" s="27" t="s">
        <v>21</v>
      </c>
      <c r="O73" s="423" t="s">
        <v>2159</v>
      </c>
      <c r="P73" s="47" t="s">
        <v>568</v>
      </c>
      <c r="Q73" s="30" t="s">
        <v>23</v>
      </c>
      <c r="R73" s="423" t="s">
        <v>2160</v>
      </c>
      <c r="S73" s="40"/>
    </row>
    <row r="74" spans="1:19" ht="15" x14ac:dyDescent="0.25">
      <c r="A74" s="83" t="s">
        <v>432</v>
      </c>
      <c r="B74" s="109" t="s">
        <v>13</v>
      </c>
      <c r="C74" s="15" t="s">
        <v>14</v>
      </c>
      <c r="D74" s="110">
        <v>75</v>
      </c>
      <c r="E74" s="110" t="s">
        <v>2157</v>
      </c>
      <c r="F74" s="129" t="s">
        <v>15</v>
      </c>
      <c r="G74" s="124" t="s">
        <v>569</v>
      </c>
      <c r="H74" s="17" t="s">
        <v>570</v>
      </c>
      <c r="I74" s="19" t="s">
        <v>14</v>
      </c>
      <c r="J74" s="14" t="s">
        <v>571</v>
      </c>
      <c r="K74" s="20" t="s">
        <v>92</v>
      </c>
      <c r="L74" s="423" t="s">
        <v>2170</v>
      </c>
      <c r="M74" s="14" t="s">
        <v>572</v>
      </c>
      <c r="N74" s="14" t="s">
        <v>21</v>
      </c>
      <c r="O74" s="423" t="s">
        <v>2159</v>
      </c>
      <c r="P74" s="14" t="s">
        <v>573</v>
      </c>
      <c r="Q74" s="14" t="s">
        <v>23</v>
      </c>
      <c r="R74" s="423" t="s">
        <v>2160</v>
      </c>
      <c r="S74" s="15" t="s">
        <v>574</v>
      </c>
    </row>
    <row r="75" spans="1:19" ht="15" x14ac:dyDescent="0.25">
      <c r="A75" s="52" t="s">
        <v>576</v>
      </c>
      <c r="B75" s="51" t="s">
        <v>13</v>
      </c>
      <c r="C75" s="30" t="s">
        <v>14</v>
      </c>
      <c r="D75" s="106">
        <v>76</v>
      </c>
      <c r="E75" s="106" t="s">
        <v>2188</v>
      </c>
      <c r="F75" s="92" t="s">
        <v>577</v>
      </c>
      <c r="G75" s="88" t="s">
        <v>578</v>
      </c>
      <c r="H75" s="45" t="s">
        <v>206</v>
      </c>
      <c r="I75" s="29" t="s">
        <v>14</v>
      </c>
      <c r="J75" s="27" t="s">
        <v>579</v>
      </c>
      <c r="K75" s="47" t="s">
        <v>19</v>
      </c>
      <c r="L75" s="423" t="s">
        <v>2181</v>
      </c>
      <c r="M75" s="27" t="s">
        <v>580</v>
      </c>
      <c r="N75" s="27" t="s">
        <v>21</v>
      </c>
      <c r="O75" s="423" t="s">
        <v>2159</v>
      </c>
      <c r="P75" s="27" t="s">
        <v>581</v>
      </c>
      <c r="Q75" s="27" t="s">
        <v>23</v>
      </c>
      <c r="R75" s="423" t="s">
        <v>2160</v>
      </c>
      <c r="S75" s="51" t="s">
        <v>582</v>
      </c>
    </row>
    <row r="76" spans="1:19" ht="15" x14ac:dyDescent="0.25">
      <c r="A76" s="51" t="s">
        <v>576</v>
      </c>
      <c r="B76" s="51" t="s">
        <v>13</v>
      </c>
      <c r="C76" s="30" t="s">
        <v>14</v>
      </c>
      <c r="D76" s="106">
        <v>77</v>
      </c>
      <c r="E76" s="106" t="s">
        <v>2189</v>
      </c>
      <c r="F76" s="92" t="s">
        <v>586</v>
      </c>
      <c r="G76" s="88" t="s">
        <v>587</v>
      </c>
      <c r="H76" s="45" t="s">
        <v>588</v>
      </c>
      <c r="I76" s="29" t="s">
        <v>14</v>
      </c>
      <c r="J76" s="27" t="s">
        <v>589</v>
      </c>
      <c r="K76" s="47" t="s">
        <v>19</v>
      </c>
      <c r="L76" s="423" t="s">
        <v>2181</v>
      </c>
      <c r="M76" s="27" t="s">
        <v>590</v>
      </c>
      <c r="N76" s="27" t="s">
        <v>21</v>
      </c>
      <c r="O76" s="423" t="s">
        <v>2159</v>
      </c>
      <c r="P76" s="27" t="s">
        <v>591</v>
      </c>
      <c r="Q76" s="27" t="s">
        <v>23</v>
      </c>
      <c r="R76" s="423" t="s">
        <v>2160</v>
      </c>
      <c r="S76" s="51" t="s">
        <v>592</v>
      </c>
    </row>
    <row r="77" spans="1:19" ht="15" x14ac:dyDescent="0.25">
      <c r="A77" s="51" t="s">
        <v>576</v>
      </c>
      <c r="B77" s="51" t="s">
        <v>13</v>
      </c>
      <c r="C77" s="30" t="s">
        <v>14</v>
      </c>
      <c r="D77" s="106">
        <v>78</v>
      </c>
      <c r="E77" s="106" t="s">
        <v>2187</v>
      </c>
      <c r="F77" s="92" t="s">
        <v>595</v>
      </c>
      <c r="G77" s="88" t="s">
        <v>596</v>
      </c>
      <c r="H77" s="45" t="s">
        <v>597</v>
      </c>
      <c r="I77" s="29" t="s">
        <v>14</v>
      </c>
      <c r="J77" s="27" t="s">
        <v>598</v>
      </c>
      <c r="K77" s="47" t="s">
        <v>92</v>
      </c>
      <c r="L77" s="423" t="s">
        <v>2170</v>
      </c>
      <c r="M77" s="27" t="s">
        <v>599</v>
      </c>
      <c r="N77" s="27" t="s">
        <v>21</v>
      </c>
      <c r="O77" s="423" t="s">
        <v>2159</v>
      </c>
      <c r="P77" s="47" t="s">
        <v>600</v>
      </c>
      <c r="Q77" s="27" t="s">
        <v>23</v>
      </c>
      <c r="R77" s="423" t="s">
        <v>2160</v>
      </c>
      <c r="S77" s="51" t="s">
        <v>601</v>
      </c>
    </row>
    <row r="78" spans="1:19" ht="15" x14ac:dyDescent="0.25">
      <c r="A78" s="51" t="s">
        <v>576</v>
      </c>
      <c r="B78" s="51" t="s">
        <v>13</v>
      </c>
      <c r="C78" s="30" t="s">
        <v>14</v>
      </c>
      <c r="D78" s="114">
        <v>79</v>
      </c>
      <c r="E78" s="114" t="s">
        <v>2187</v>
      </c>
      <c r="F78" s="45" t="s">
        <v>595</v>
      </c>
      <c r="G78" s="50" t="s">
        <v>604</v>
      </c>
      <c r="H78" s="45" t="s">
        <v>605</v>
      </c>
      <c r="I78" s="29" t="s">
        <v>14</v>
      </c>
      <c r="J78" s="47" t="s">
        <v>606</v>
      </c>
      <c r="K78" s="29" t="s">
        <v>19</v>
      </c>
      <c r="L78" s="423" t="s">
        <v>2181</v>
      </c>
      <c r="M78" s="29">
        <v>525136</v>
      </c>
      <c r="N78" s="27" t="s">
        <v>21</v>
      </c>
      <c r="O78" s="423" t="s">
        <v>2159</v>
      </c>
      <c r="P78" s="47" t="s">
        <v>607</v>
      </c>
      <c r="Q78" s="27" t="s">
        <v>23</v>
      </c>
      <c r="R78" s="423" t="s">
        <v>2160</v>
      </c>
      <c r="S78" s="51" t="s">
        <v>608</v>
      </c>
    </row>
    <row r="79" spans="1:19" ht="15" x14ac:dyDescent="0.25">
      <c r="A79" s="51" t="s">
        <v>576</v>
      </c>
      <c r="B79" s="51" t="s">
        <v>13</v>
      </c>
      <c r="C79" s="30" t="s">
        <v>14</v>
      </c>
      <c r="D79" s="106">
        <v>80</v>
      </c>
      <c r="E79" s="106" t="s">
        <v>2189</v>
      </c>
      <c r="F79" s="92" t="s">
        <v>611</v>
      </c>
      <c r="G79" s="88" t="s">
        <v>612</v>
      </c>
      <c r="H79" s="45" t="s">
        <v>613</v>
      </c>
      <c r="I79" s="29" t="s">
        <v>14</v>
      </c>
      <c r="J79" s="27" t="s">
        <v>614</v>
      </c>
      <c r="K79" s="47" t="s">
        <v>92</v>
      </c>
      <c r="L79" s="423" t="s">
        <v>2170</v>
      </c>
      <c r="M79" s="27" t="s">
        <v>615</v>
      </c>
      <c r="N79" s="27" t="s">
        <v>21</v>
      </c>
      <c r="O79" s="423" t="s">
        <v>2159</v>
      </c>
      <c r="P79" s="47" t="s">
        <v>616</v>
      </c>
      <c r="Q79" s="27" t="s">
        <v>23</v>
      </c>
      <c r="R79" s="423" t="s">
        <v>2160</v>
      </c>
      <c r="S79" s="51" t="s">
        <v>617</v>
      </c>
    </row>
    <row r="80" spans="1:19" ht="15" x14ac:dyDescent="0.25">
      <c r="A80" s="132" t="s">
        <v>620</v>
      </c>
      <c r="B80" s="132" t="s">
        <v>13</v>
      </c>
      <c r="C80" s="133" t="s">
        <v>14</v>
      </c>
      <c r="D80" s="134">
        <v>81</v>
      </c>
      <c r="E80" s="134" t="s">
        <v>2162</v>
      </c>
      <c r="F80" s="135" t="s">
        <v>44</v>
      </c>
      <c r="G80" s="136" t="s">
        <v>621</v>
      </c>
      <c r="H80" s="137" t="s">
        <v>622</v>
      </c>
      <c r="I80" s="138" t="s">
        <v>14</v>
      </c>
      <c r="J80" s="59" t="s">
        <v>623</v>
      </c>
      <c r="K80" s="59" t="s">
        <v>92</v>
      </c>
      <c r="L80" s="423" t="s">
        <v>2170</v>
      </c>
      <c r="M80" s="59" t="s">
        <v>624</v>
      </c>
      <c r="N80" s="60" t="s">
        <v>21</v>
      </c>
      <c r="O80" s="423" t="s">
        <v>2159</v>
      </c>
      <c r="P80" s="59" t="s">
        <v>625</v>
      </c>
      <c r="Q80" s="60" t="s">
        <v>23</v>
      </c>
      <c r="R80" s="423" t="s">
        <v>2160</v>
      </c>
      <c r="S80" s="139">
        <v>74106804</v>
      </c>
    </row>
    <row r="81" spans="1:19" ht="15" x14ac:dyDescent="0.25">
      <c r="A81" s="51" t="s">
        <v>620</v>
      </c>
      <c r="B81" s="51" t="s">
        <v>13</v>
      </c>
      <c r="C81" s="30" t="s">
        <v>14</v>
      </c>
      <c r="D81" s="114">
        <v>82</v>
      </c>
      <c r="E81" s="114" t="s">
        <v>2157</v>
      </c>
      <c r="F81" s="92" t="s">
        <v>15</v>
      </c>
      <c r="G81" s="88" t="s">
        <v>630</v>
      </c>
      <c r="H81" s="45" t="s">
        <v>157</v>
      </c>
      <c r="I81" s="29" t="s">
        <v>14</v>
      </c>
      <c r="J81" s="47" t="s">
        <v>631</v>
      </c>
      <c r="K81" s="47" t="s">
        <v>92</v>
      </c>
      <c r="L81" s="423" t="s">
        <v>2170</v>
      </c>
      <c r="M81" s="47" t="s">
        <v>632</v>
      </c>
      <c r="N81" s="27" t="s">
        <v>21</v>
      </c>
      <c r="O81" s="423" t="s">
        <v>2159</v>
      </c>
      <c r="P81" s="47" t="s">
        <v>633</v>
      </c>
      <c r="Q81" s="27" t="s">
        <v>23</v>
      </c>
      <c r="R81" s="423" t="s">
        <v>2160</v>
      </c>
      <c r="S81" s="51" t="s">
        <v>634</v>
      </c>
    </row>
    <row r="82" spans="1:19" ht="15" x14ac:dyDescent="0.25">
      <c r="A82" s="51" t="s">
        <v>480</v>
      </c>
      <c r="B82" s="51" t="s">
        <v>13</v>
      </c>
      <c r="C82" s="30" t="s">
        <v>14</v>
      </c>
      <c r="D82" s="114">
        <v>83</v>
      </c>
      <c r="E82" s="114" t="s">
        <v>2186</v>
      </c>
      <c r="F82" s="92" t="s">
        <v>445</v>
      </c>
      <c r="G82" s="88" t="s">
        <v>637</v>
      </c>
      <c r="H82" s="45" t="s">
        <v>98</v>
      </c>
      <c r="I82" s="29" t="s">
        <v>14</v>
      </c>
      <c r="J82" s="47" t="s">
        <v>638</v>
      </c>
      <c r="K82" s="47" t="s">
        <v>92</v>
      </c>
      <c r="L82" s="423" t="s">
        <v>2170</v>
      </c>
      <c r="M82" s="47" t="s">
        <v>639</v>
      </c>
      <c r="N82" s="27" t="s">
        <v>21</v>
      </c>
      <c r="O82" s="423" t="s">
        <v>2159</v>
      </c>
      <c r="P82" s="47" t="s">
        <v>640</v>
      </c>
      <c r="Q82" s="30" t="s">
        <v>23</v>
      </c>
      <c r="R82" s="423" t="s">
        <v>2160</v>
      </c>
      <c r="S82" s="30" t="s">
        <v>641</v>
      </c>
    </row>
    <row r="83" spans="1:19" ht="15" x14ac:dyDescent="0.25">
      <c r="A83" s="51" t="s">
        <v>620</v>
      </c>
      <c r="B83" s="51" t="s">
        <v>13</v>
      </c>
      <c r="C83" s="30" t="s">
        <v>14</v>
      </c>
      <c r="D83" s="114">
        <v>84</v>
      </c>
      <c r="E83" s="114" t="s">
        <v>2161</v>
      </c>
      <c r="F83" s="92" t="s">
        <v>34</v>
      </c>
      <c r="G83" s="88" t="s">
        <v>643</v>
      </c>
      <c r="H83" s="45" t="s">
        <v>551</v>
      </c>
      <c r="I83" s="29" t="s">
        <v>14</v>
      </c>
      <c r="J83" s="47" t="s">
        <v>644</v>
      </c>
      <c r="K83" s="47" t="s">
        <v>92</v>
      </c>
      <c r="L83" s="423" t="s">
        <v>2170</v>
      </c>
      <c r="M83" s="47" t="s">
        <v>645</v>
      </c>
      <c r="N83" s="27" t="s">
        <v>21</v>
      </c>
      <c r="O83" s="423" t="s">
        <v>2159</v>
      </c>
      <c r="P83" s="47" t="s">
        <v>646</v>
      </c>
      <c r="Q83" s="30" t="s">
        <v>23</v>
      </c>
      <c r="R83" s="423" t="s">
        <v>2160</v>
      </c>
      <c r="S83" s="40">
        <v>54621407</v>
      </c>
    </row>
    <row r="84" spans="1:19" ht="15" x14ac:dyDescent="0.25">
      <c r="A84" s="51" t="s">
        <v>620</v>
      </c>
      <c r="B84" s="51" t="s">
        <v>13</v>
      </c>
      <c r="C84" s="30" t="s">
        <v>14</v>
      </c>
      <c r="D84" s="114">
        <v>85</v>
      </c>
      <c r="E84" s="114" t="s">
        <v>2164</v>
      </c>
      <c r="F84" s="45" t="s">
        <v>53</v>
      </c>
      <c r="G84" s="50" t="s">
        <v>651</v>
      </c>
      <c r="H84" s="45" t="s">
        <v>652</v>
      </c>
      <c r="I84" s="29" t="s">
        <v>14</v>
      </c>
      <c r="J84" s="47" t="s">
        <v>653</v>
      </c>
      <c r="K84" s="47" t="s">
        <v>276</v>
      </c>
      <c r="L84" s="423" t="s">
        <v>2184</v>
      </c>
      <c r="M84" s="47" t="s">
        <v>654</v>
      </c>
      <c r="N84" s="27" t="s">
        <v>21</v>
      </c>
      <c r="O84" s="423" t="s">
        <v>2159</v>
      </c>
      <c r="P84" s="47" t="s">
        <v>655</v>
      </c>
      <c r="Q84" s="27" t="s">
        <v>23</v>
      </c>
      <c r="R84" s="423" t="s">
        <v>2160</v>
      </c>
      <c r="S84" s="30">
        <v>6541048</v>
      </c>
    </row>
    <row r="85" spans="1:19" ht="15" x14ac:dyDescent="0.25">
      <c r="A85" s="109" t="s">
        <v>620</v>
      </c>
      <c r="B85" s="109" t="s">
        <v>13</v>
      </c>
      <c r="C85" s="15" t="s">
        <v>14</v>
      </c>
      <c r="D85" s="121">
        <v>87</v>
      </c>
      <c r="E85" s="121" t="s">
        <v>2162</v>
      </c>
      <c r="F85" s="129" t="s">
        <v>44</v>
      </c>
      <c r="G85" s="129" t="s">
        <v>662</v>
      </c>
      <c r="H85" s="129" t="s">
        <v>281</v>
      </c>
      <c r="I85" s="19" t="s">
        <v>14</v>
      </c>
      <c r="J85" s="20" t="s">
        <v>663</v>
      </c>
      <c r="K85" s="20" t="s">
        <v>92</v>
      </c>
      <c r="L85" s="423" t="s">
        <v>2170</v>
      </c>
      <c r="M85" s="14" t="s">
        <v>664</v>
      </c>
      <c r="N85" s="14" t="s">
        <v>21</v>
      </c>
      <c r="O85" s="423" t="s">
        <v>2159</v>
      </c>
      <c r="P85" s="143" t="s">
        <v>665</v>
      </c>
      <c r="Q85" s="14" t="s">
        <v>23</v>
      </c>
      <c r="R85" s="423" t="s">
        <v>2160</v>
      </c>
      <c r="S85" s="15" t="s">
        <v>666</v>
      </c>
    </row>
    <row r="86" spans="1:19" ht="15" x14ac:dyDescent="0.25">
      <c r="A86" s="47" t="s">
        <v>620</v>
      </c>
      <c r="B86" s="51" t="s">
        <v>13</v>
      </c>
      <c r="C86" s="27" t="s">
        <v>14</v>
      </c>
      <c r="D86" s="53">
        <v>88</v>
      </c>
      <c r="E86" s="53" t="s">
        <v>2164</v>
      </c>
      <c r="F86" s="45" t="s">
        <v>53</v>
      </c>
      <c r="G86" s="50" t="s">
        <v>668</v>
      </c>
      <c r="H86" s="88" t="s">
        <v>669</v>
      </c>
      <c r="I86" s="29" t="s">
        <v>14</v>
      </c>
      <c r="J86" s="47" t="s">
        <v>670</v>
      </c>
      <c r="K86" s="47" t="s">
        <v>92</v>
      </c>
      <c r="L86" s="423" t="s">
        <v>2170</v>
      </c>
      <c r="M86" s="47" t="s">
        <v>671</v>
      </c>
      <c r="N86" s="27" t="s">
        <v>21</v>
      </c>
      <c r="O86" s="423" t="s">
        <v>2159</v>
      </c>
      <c r="P86" s="47" t="s">
        <v>672</v>
      </c>
      <c r="Q86" s="27" t="s">
        <v>23</v>
      </c>
      <c r="R86" s="423" t="s">
        <v>2160</v>
      </c>
      <c r="S86" s="30" t="s">
        <v>673</v>
      </c>
    </row>
    <row r="87" spans="1:19" ht="15" x14ac:dyDescent="0.25">
      <c r="A87" s="51" t="s">
        <v>620</v>
      </c>
      <c r="B87" s="51" t="s">
        <v>13</v>
      </c>
      <c r="C87" s="30" t="s">
        <v>14</v>
      </c>
      <c r="D87" s="114">
        <v>89</v>
      </c>
      <c r="E87" s="114" t="s">
        <v>2190</v>
      </c>
      <c r="F87" s="45" t="s">
        <v>549</v>
      </c>
      <c r="G87" s="45" t="s">
        <v>675</v>
      </c>
      <c r="H87" s="45" t="s">
        <v>676</v>
      </c>
      <c r="I87" s="29" t="s">
        <v>14</v>
      </c>
      <c r="J87" s="47" t="s">
        <v>677</v>
      </c>
      <c r="K87" s="47" t="s">
        <v>92</v>
      </c>
      <c r="L87" s="423" t="s">
        <v>2170</v>
      </c>
      <c r="M87" s="47" t="s">
        <v>678</v>
      </c>
      <c r="N87" s="27" t="s">
        <v>58</v>
      </c>
      <c r="O87" s="423" t="s">
        <v>2165</v>
      </c>
      <c r="P87" s="47" t="s">
        <v>679</v>
      </c>
      <c r="Q87" s="30" t="s">
        <v>23</v>
      </c>
      <c r="R87" s="423" t="s">
        <v>2160</v>
      </c>
      <c r="S87" s="39">
        <v>74106838</v>
      </c>
    </row>
    <row r="88" spans="1:19" ht="15" x14ac:dyDescent="0.25">
      <c r="A88" s="109" t="s">
        <v>620</v>
      </c>
      <c r="B88" s="109" t="s">
        <v>13</v>
      </c>
      <c r="C88" s="15" t="s">
        <v>14</v>
      </c>
      <c r="D88" s="121">
        <v>91</v>
      </c>
      <c r="E88" s="121" t="s">
        <v>2157</v>
      </c>
      <c r="F88" s="85" t="s">
        <v>15</v>
      </c>
      <c r="G88" s="18" t="s">
        <v>685</v>
      </c>
      <c r="H88" s="124" t="s">
        <v>206</v>
      </c>
      <c r="I88" s="19" t="s">
        <v>14</v>
      </c>
      <c r="J88" s="20" t="s">
        <v>686</v>
      </c>
      <c r="K88" s="20" t="s">
        <v>92</v>
      </c>
      <c r="L88" s="423" t="s">
        <v>2170</v>
      </c>
      <c r="M88" s="20" t="s">
        <v>687</v>
      </c>
      <c r="N88" s="14" t="s">
        <v>21</v>
      </c>
      <c r="O88" s="423" t="s">
        <v>2159</v>
      </c>
      <c r="P88" s="20" t="s">
        <v>1242</v>
      </c>
      <c r="Q88" s="14" t="s">
        <v>23</v>
      </c>
      <c r="R88" s="423" t="s">
        <v>2160</v>
      </c>
      <c r="S88" s="15" t="s">
        <v>689</v>
      </c>
    </row>
    <row r="89" spans="1:19" ht="15" x14ac:dyDescent="0.25">
      <c r="A89" s="51" t="s">
        <v>620</v>
      </c>
      <c r="B89" s="51" t="s">
        <v>13</v>
      </c>
      <c r="C89" s="30" t="s">
        <v>14</v>
      </c>
      <c r="D89" s="114">
        <v>92</v>
      </c>
      <c r="E89" s="121" t="s">
        <v>2157</v>
      </c>
      <c r="F89" s="79" t="s">
        <v>15</v>
      </c>
      <c r="G89" s="79" t="s">
        <v>691</v>
      </c>
      <c r="H89" s="79" t="s">
        <v>692</v>
      </c>
      <c r="I89" s="29" t="s">
        <v>14</v>
      </c>
      <c r="J89" s="47" t="s">
        <v>693</v>
      </c>
      <c r="K89" s="47" t="s">
        <v>92</v>
      </c>
      <c r="L89" s="423" t="s">
        <v>2170</v>
      </c>
      <c r="M89" s="47" t="s">
        <v>694</v>
      </c>
      <c r="N89" s="27" t="s">
        <v>58</v>
      </c>
      <c r="O89" s="423" t="s">
        <v>2165</v>
      </c>
      <c r="P89" s="47" t="s">
        <v>695</v>
      </c>
      <c r="Q89" s="27" t="s">
        <v>23</v>
      </c>
      <c r="R89" s="423" t="s">
        <v>2160</v>
      </c>
      <c r="S89" s="40">
        <v>6517920</v>
      </c>
    </row>
    <row r="90" spans="1:19" ht="15" x14ac:dyDescent="0.25">
      <c r="A90" s="51" t="s">
        <v>697</v>
      </c>
      <c r="B90" s="51" t="s">
        <v>13</v>
      </c>
      <c r="C90" s="30" t="s">
        <v>14</v>
      </c>
      <c r="D90" s="114">
        <v>93</v>
      </c>
      <c r="E90" s="121" t="s">
        <v>2157</v>
      </c>
      <c r="F90" s="55" t="s">
        <v>15</v>
      </c>
      <c r="G90" s="55" t="s">
        <v>698</v>
      </c>
      <c r="H90" s="55" t="s">
        <v>699</v>
      </c>
      <c r="I90" s="29" t="s">
        <v>14</v>
      </c>
      <c r="J90" s="47" t="s">
        <v>700</v>
      </c>
      <c r="K90" s="47" t="s">
        <v>92</v>
      </c>
      <c r="L90" s="423" t="s">
        <v>2170</v>
      </c>
      <c r="M90" s="27" t="s">
        <v>701</v>
      </c>
      <c r="N90" s="27" t="s">
        <v>21</v>
      </c>
      <c r="O90" s="423" t="s">
        <v>2159</v>
      </c>
      <c r="P90" s="47" t="s">
        <v>702</v>
      </c>
      <c r="Q90" s="47" t="s">
        <v>23</v>
      </c>
      <c r="R90" s="423" t="s">
        <v>2160</v>
      </c>
      <c r="S90" s="30" t="s">
        <v>703</v>
      </c>
    </row>
    <row r="91" spans="1:19" ht="15" x14ac:dyDescent="0.25">
      <c r="A91" s="51" t="s">
        <v>697</v>
      </c>
      <c r="B91" s="51" t="s">
        <v>13</v>
      </c>
      <c r="C91" s="30" t="s">
        <v>14</v>
      </c>
      <c r="D91" s="114">
        <v>94</v>
      </c>
      <c r="E91" s="121" t="s">
        <v>2157</v>
      </c>
      <c r="F91" s="55" t="s">
        <v>15</v>
      </c>
      <c r="G91" s="55" t="s">
        <v>705</v>
      </c>
      <c r="H91" s="55" t="s">
        <v>157</v>
      </c>
      <c r="I91" s="29" t="s">
        <v>14</v>
      </c>
      <c r="J91" s="47" t="s">
        <v>706</v>
      </c>
      <c r="K91" s="47" t="s">
        <v>92</v>
      </c>
      <c r="L91" s="423" t="s">
        <v>2170</v>
      </c>
      <c r="M91" s="27" t="s">
        <v>707</v>
      </c>
      <c r="N91" s="27" t="s">
        <v>21</v>
      </c>
      <c r="O91" s="423" t="s">
        <v>2159</v>
      </c>
      <c r="P91" s="47" t="s">
        <v>708</v>
      </c>
      <c r="Q91" s="47" t="s">
        <v>23</v>
      </c>
      <c r="R91" s="423" t="s">
        <v>2160</v>
      </c>
      <c r="S91" s="30" t="s">
        <v>709</v>
      </c>
    </row>
    <row r="92" spans="1:19" ht="15" x14ac:dyDescent="0.25">
      <c r="A92" s="51" t="s">
        <v>697</v>
      </c>
      <c r="B92" s="51" t="s">
        <v>2191</v>
      </c>
      <c r="C92" s="30" t="s">
        <v>14</v>
      </c>
      <c r="D92" s="114">
        <v>95</v>
      </c>
      <c r="E92" s="114"/>
      <c r="F92" s="89" t="s">
        <v>44</v>
      </c>
      <c r="G92" s="119" t="s">
        <v>1121</v>
      </c>
      <c r="H92" s="45" t="s">
        <v>1122</v>
      </c>
      <c r="I92" s="29" t="s">
        <v>14</v>
      </c>
      <c r="J92" s="47" t="s">
        <v>713</v>
      </c>
      <c r="K92" s="47" t="s">
        <v>92</v>
      </c>
      <c r="L92" s="423" t="s">
        <v>2170</v>
      </c>
      <c r="M92" s="27" t="s">
        <v>714</v>
      </c>
      <c r="N92" s="27" t="s">
        <v>21</v>
      </c>
      <c r="O92" s="423" t="s">
        <v>2159</v>
      </c>
      <c r="P92" s="47" t="s">
        <v>715</v>
      </c>
      <c r="Q92" s="30" t="s">
        <v>23</v>
      </c>
      <c r="R92" s="423" t="s">
        <v>2160</v>
      </c>
      <c r="S92" s="51" t="s">
        <v>1123</v>
      </c>
    </row>
    <row r="93" spans="1:19" ht="15" x14ac:dyDescent="0.25">
      <c r="A93" s="109" t="s">
        <v>718</v>
      </c>
      <c r="B93" s="109" t="s">
        <v>13</v>
      </c>
      <c r="C93" s="15" t="s">
        <v>14</v>
      </c>
      <c r="D93" s="121">
        <v>96</v>
      </c>
      <c r="E93" s="121" t="s">
        <v>2162</v>
      </c>
      <c r="F93" s="122" t="s">
        <v>44</v>
      </c>
      <c r="G93" s="123" t="s">
        <v>558</v>
      </c>
      <c r="H93" s="17" t="s">
        <v>719</v>
      </c>
      <c r="I93" s="19" t="s">
        <v>14</v>
      </c>
      <c r="J93" s="20" t="s">
        <v>720</v>
      </c>
      <c r="K93" s="20" t="s">
        <v>92</v>
      </c>
      <c r="L93" s="423" t="s">
        <v>2170</v>
      </c>
      <c r="M93" s="20" t="s">
        <v>721</v>
      </c>
      <c r="N93" s="14" t="s">
        <v>21</v>
      </c>
      <c r="O93" s="423" t="s">
        <v>2159</v>
      </c>
      <c r="P93" s="20" t="s">
        <v>722</v>
      </c>
      <c r="Q93" s="20" t="s">
        <v>23</v>
      </c>
      <c r="R93" s="423" t="s">
        <v>2160</v>
      </c>
      <c r="S93" s="15" t="s">
        <v>723</v>
      </c>
    </row>
    <row r="94" spans="1:19" ht="15" x14ac:dyDescent="0.25">
      <c r="A94" s="51" t="s">
        <v>718</v>
      </c>
      <c r="B94" s="51" t="s">
        <v>13</v>
      </c>
      <c r="C94" s="30" t="s">
        <v>14</v>
      </c>
      <c r="D94" s="114">
        <v>97</v>
      </c>
      <c r="E94" s="114" t="s">
        <v>2164</v>
      </c>
      <c r="F94" s="92" t="s">
        <v>53</v>
      </c>
      <c r="G94" s="88" t="s">
        <v>725</v>
      </c>
      <c r="H94" s="45" t="s">
        <v>726</v>
      </c>
      <c r="I94" s="29" t="s">
        <v>14</v>
      </c>
      <c r="J94" s="47" t="s">
        <v>727</v>
      </c>
      <c r="K94" s="47" t="s">
        <v>92</v>
      </c>
      <c r="L94" s="423" t="s">
        <v>2170</v>
      </c>
      <c r="M94" s="47" t="s">
        <v>728</v>
      </c>
      <c r="N94" s="27" t="s">
        <v>21</v>
      </c>
      <c r="O94" s="423" t="s">
        <v>2159</v>
      </c>
      <c r="P94" s="47" t="s">
        <v>729</v>
      </c>
      <c r="Q94" s="27" t="s">
        <v>23</v>
      </c>
      <c r="R94" s="423" t="s">
        <v>2160</v>
      </c>
      <c r="S94" s="30" t="s">
        <v>730</v>
      </c>
    </row>
    <row r="95" spans="1:19" ht="15" x14ac:dyDescent="0.25">
      <c r="A95" s="51" t="s">
        <v>718</v>
      </c>
      <c r="B95" s="51" t="s">
        <v>13</v>
      </c>
      <c r="C95" s="30" t="s">
        <v>14</v>
      </c>
      <c r="D95" s="114">
        <v>98</v>
      </c>
      <c r="E95" s="114" t="s">
        <v>2169</v>
      </c>
      <c r="F95" s="89" t="s">
        <v>88</v>
      </c>
      <c r="G95" s="119" t="s">
        <v>732</v>
      </c>
      <c r="H95" s="45" t="s">
        <v>206</v>
      </c>
      <c r="I95" s="29" t="s">
        <v>14</v>
      </c>
      <c r="J95" s="47" t="s">
        <v>733</v>
      </c>
      <c r="K95" s="47" t="s">
        <v>92</v>
      </c>
      <c r="L95" s="423" t="s">
        <v>2170</v>
      </c>
      <c r="M95" s="47" t="s">
        <v>734</v>
      </c>
      <c r="N95" s="27" t="s">
        <v>21</v>
      </c>
      <c r="O95" s="423" t="s">
        <v>2159</v>
      </c>
      <c r="P95" s="47" t="s">
        <v>735</v>
      </c>
      <c r="Q95" s="27" t="s">
        <v>23</v>
      </c>
      <c r="R95" s="423" t="s">
        <v>2160</v>
      </c>
      <c r="S95" s="25" t="s">
        <v>736</v>
      </c>
    </row>
    <row r="96" spans="1:19" ht="15" x14ac:dyDescent="0.25">
      <c r="A96" s="51" t="s">
        <v>718</v>
      </c>
      <c r="B96" s="51" t="s">
        <v>13</v>
      </c>
      <c r="C96" s="30" t="s">
        <v>14</v>
      </c>
      <c r="D96" s="114">
        <v>99</v>
      </c>
      <c r="E96" s="114" t="s">
        <v>2169</v>
      </c>
      <c r="F96" s="79" t="s">
        <v>88</v>
      </c>
      <c r="G96" s="46" t="s">
        <v>110</v>
      </c>
      <c r="H96" s="45" t="s">
        <v>738</v>
      </c>
      <c r="I96" s="29" t="s">
        <v>14</v>
      </c>
      <c r="J96" s="47" t="s">
        <v>739</v>
      </c>
      <c r="K96" s="47" t="s">
        <v>92</v>
      </c>
      <c r="L96" s="423" t="s">
        <v>2170</v>
      </c>
      <c r="M96" s="47" t="s">
        <v>740</v>
      </c>
      <c r="N96" s="27" t="s">
        <v>21</v>
      </c>
      <c r="O96" s="423" t="s">
        <v>2159</v>
      </c>
      <c r="P96" s="47" t="s">
        <v>741</v>
      </c>
      <c r="Q96" s="27" t="s">
        <v>23</v>
      </c>
      <c r="R96" s="423" t="s">
        <v>2160</v>
      </c>
      <c r="S96" s="30" t="s">
        <v>742</v>
      </c>
    </row>
    <row r="97" spans="1:19" ht="15" x14ac:dyDescent="0.25">
      <c r="A97" s="109" t="s">
        <v>718</v>
      </c>
      <c r="B97" s="109" t="s">
        <v>13</v>
      </c>
      <c r="C97" s="15" t="s">
        <v>14</v>
      </c>
      <c r="D97" s="121">
        <v>101</v>
      </c>
      <c r="E97" s="121" t="s">
        <v>2162</v>
      </c>
      <c r="F97" s="129" t="s">
        <v>44</v>
      </c>
      <c r="G97" s="124" t="s">
        <v>748</v>
      </c>
      <c r="H97" s="17" t="s">
        <v>749</v>
      </c>
      <c r="I97" s="19" t="s">
        <v>14</v>
      </c>
      <c r="J97" s="20" t="s">
        <v>750</v>
      </c>
      <c r="K97" s="20" t="s">
        <v>92</v>
      </c>
      <c r="L97" s="423" t="s">
        <v>2170</v>
      </c>
      <c r="M97" s="14" t="s">
        <v>751</v>
      </c>
      <c r="N97" s="14" t="s">
        <v>21</v>
      </c>
      <c r="O97" s="423" t="s">
        <v>2159</v>
      </c>
      <c r="P97" s="20" t="s">
        <v>752</v>
      </c>
      <c r="Q97" s="15" t="s">
        <v>23</v>
      </c>
      <c r="R97" s="423" t="s">
        <v>2160</v>
      </c>
      <c r="S97" s="109" t="s">
        <v>753</v>
      </c>
    </row>
    <row r="98" spans="1:19" ht="15" x14ac:dyDescent="0.25">
      <c r="A98" s="51" t="s">
        <v>718</v>
      </c>
      <c r="B98" s="51" t="s">
        <v>13</v>
      </c>
      <c r="C98" s="30" t="s">
        <v>14</v>
      </c>
      <c r="D98" s="114">
        <v>102</v>
      </c>
      <c r="E98" s="114" t="s">
        <v>2169</v>
      </c>
      <c r="F98" s="92" t="s">
        <v>88</v>
      </c>
      <c r="G98" s="88" t="s">
        <v>755</v>
      </c>
      <c r="H98" s="45" t="s">
        <v>756</v>
      </c>
      <c r="I98" s="29" t="s">
        <v>14</v>
      </c>
      <c r="J98" s="47" t="s">
        <v>757</v>
      </c>
      <c r="K98" s="47" t="s">
        <v>92</v>
      </c>
      <c r="L98" s="423" t="s">
        <v>2170</v>
      </c>
      <c r="M98" s="27" t="s">
        <v>758</v>
      </c>
      <c r="N98" s="27" t="s">
        <v>21</v>
      </c>
      <c r="O98" s="423" t="s">
        <v>2159</v>
      </c>
      <c r="P98" s="47" t="s">
        <v>759</v>
      </c>
      <c r="Q98" s="30" t="s">
        <v>23</v>
      </c>
      <c r="R98" s="423" t="s">
        <v>2160</v>
      </c>
      <c r="S98" s="30" t="s">
        <v>760</v>
      </c>
    </row>
    <row r="99" spans="1:19" ht="15" x14ac:dyDescent="0.25">
      <c r="A99" s="51" t="s">
        <v>718</v>
      </c>
      <c r="B99" s="51" t="s">
        <v>13</v>
      </c>
      <c r="C99" s="30" t="s">
        <v>14</v>
      </c>
      <c r="D99" s="114">
        <v>103</v>
      </c>
      <c r="E99" s="114" t="s">
        <v>2186</v>
      </c>
      <c r="F99" s="92" t="s">
        <v>445</v>
      </c>
      <c r="G99" s="88" t="s">
        <v>81</v>
      </c>
      <c r="H99" s="88" t="s">
        <v>762</v>
      </c>
      <c r="I99" s="29" t="s">
        <v>14</v>
      </c>
      <c r="J99" s="47" t="s">
        <v>763</v>
      </c>
      <c r="K99" s="47" t="s">
        <v>92</v>
      </c>
      <c r="L99" s="423" t="s">
        <v>2170</v>
      </c>
      <c r="M99" s="27" t="s">
        <v>764</v>
      </c>
      <c r="N99" s="27" t="s">
        <v>58</v>
      </c>
      <c r="O99" s="423" t="s">
        <v>2165</v>
      </c>
      <c r="P99" s="47" t="s">
        <v>765</v>
      </c>
      <c r="Q99" s="30" t="s">
        <v>23</v>
      </c>
      <c r="R99" s="423" t="s">
        <v>2160</v>
      </c>
      <c r="S99" s="51" t="s">
        <v>766</v>
      </c>
    </row>
    <row r="100" spans="1:19" ht="15" x14ac:dyDescent="0.25">
      <c r="A100" s="51" t="s">
        <v>718</v>
      </c>
      <c r="B100" s="51" t="s">
        <v>13</v>
      </c>
      <c r="C100" s="30" t="s">
        <v>14</v>
      </c>
      <c r="D100" s="114">
        <v>104</v>
      </c>
      <c r="E100" s="114" t="s">
        <v>2169</v>
      </c>
      <c r="F100" s="79" t="s">
        <v>88</v>
      </c>
      <c r="G100" s="46" t="s">
        <v>769</v>
      </c>
      <c r="H100" s="45" t="s">
        <v>770</v>
      </c>
      <c r="I100" s="29" t="s">
        <v>14</v>
      </c>
      <c r="J100" s="47" t="s">
        <v>771</v>
      </c>
      <c r="K100" s="47" t="s">
        <v>92</v>
      </c>
      <c r="L100" s="423" t="s">
        <v>2170</v>
      </c>
      <c r="M100" s="47" t="s">
        <v>772</v>
      </c>
      <c r="N100" s="27" t="s">
        <v>58</v>
      </c>
      <c r="O100" s="423" t="s">
        <v>2165</v>
      </c>
      <c r="P100" s="47" t="s">
        <v>773</v>
      </c>
      <c r="Q100" s="30" t="s">
        <v>23</v>
      </c>
      <c r="R100" s="423" t="s">
        <v>2160</v>
      </c>
      <c r="S100" s="51" t="s">
        <v>774</v>
      </c>
    </row>
    <row r="101" spans="1:19" ht="15" x14ac:dyDescent="0.25">
      <c r="A101" s="51" t="s">
        <v>718</v>
      </c>
      <c r="B101" s="51" t="s">
        <v>13</v>
      </c>
      <c r="C101" s="30" t="s">
        <v>14</v>
      </c>
      <c r="D101" s="114">
        <v>105</v>
      </c>
      <c r="E101" s="114" t="s">
        <v>2161</v>
      </c>
      <c r="F101" s="92" t="s">
        <v>34</v>
      </c>
      <c r="G101" s="88" t="s">
        <v>776</v>
      </c>
      <c r="H101" s="45" t="s">
        <v>777</v>
      </c>
      <c r="I101" s="29" t="s">
        <v>14</v>
      </c>
      <c r="J101" s="47" t="s">
        <v>778</v>
      </c>
      <c r="K101" s="47" t="s">
        <v>92</v>
      </c>
      <c r="L101" s="423" t="s">
        <v>2170</v>
      </c>
      <c r="M101" s="47" t="s">
        <v>779</v>
      </c>
      <c r="N101" s="27" t="s">
        <v>58</v>
      </c>
      <c r="O101" s="423" t="s">
        <v>2165</v>
      </c>
      <c r="P101" s="47" t="s">
        <v>780</v>
      </c>
      <c r="Q101" s="30" t="s">
        <v>23</v>
      </c>
      <c r="R101" s="423" t="s">
        <v>2160</v>
      </c>
      <c r="S101" s="51" t="s">
        <v>781</v>
      </c>
    </row>
    <row r="102" spans="1:19" ht="15" x14ac:dyDescent="0.25">
      <c r="A102" s="51" t="s">
        <v>87</v>
      </c>
      <c r="B102" s="51" t="s">
        <v>13</v>
      </c>
      <c r="C102" s="30" t="s">
        <v>14</v>
      </c>
      <c r="D102" s="106">
        <v>106</v>
      </c>
      <c r="E102" s="106" t="s">
        <v>2157</v>
      </c>
      <c r="F102" s="92" t="s">
        <v>15</v>
      </c>
      <c r="G102" s="88" t="s">
        <v>783</v>
      </c>
      <c r="H102" s="45" t="s">
        <v>157</v>
      </c>
      <c r="I102" s="29" t="s">
        <v>14</v>
      </c>
      <c r="J102" s="27" t="s">
        <v>784</v>
      </c>
      <c r="K102" s="47" t="s">
        <v>92</v>
      </c>
      <c r="L102" s="423" t="s">
        <v>2170</v>
      </c>
      <c r="M102" s="27" t="s">
        <v>785</v>
      </c>
      <c r="N102" s="25" t="s">
        <v>58</v>
      </c>
      <c r="O102" s="423" t="s">
        <v>2165</v>
      </c>
      <c r="P102" s="27" t="s">
        <v>786</v>
      </c>
      <c r="Q102" s="27" t="s">
        <v>23</v>
      </c>
      <c r="R102" s="423" t="s">
        <v>2160</v>
      </c>
      <c r="S102" s="30" t="s">
        <v>787</v>
      </c>
    </row>
    <row r="103" spans="1:19" ht="15" x14ac:dyDescent="0.25">
      <c r="A103" s="51" t="s">
        <v>87</v>
      </c>
      <c r="B103" s="51" t="s">
        <v>13</v>
      </c>
      <c r="C103" s="30" t="s">
        <v>14</v>
      </c>
      <c r="D103" s="114">
        <v>109</v>
      </c>
      <c r="E103" s="114" t="s">
        <v>2188</v>
      </c>
      <c r="F103" s="128" t="s">
        <v>577</v>
      </c>
      <c r="G103" s="43" t="s">
        <v>795</v>
      </c>
      <c r="H103" s="128" t="s">
        <v>72</v>
      </c>
      <c r="I103" s="29" t="s">
        <v>14</v>
      </c>
      <c r="J103" s="47" t="s">
        <v>796</v>
      </c>
      <c r="K103" s="47" t="s">
        <v>92</v>
      </c>
      <c r="L103" s="423" t="s">
        <v>2170</v>
      </c>
      <c r="M103" s="27" t="s">
        <v>797</v>
      </c>
      <c r="N103" s="27" t="s">
        <v>21</v>
      </c>
      <c r="O103" s="423" t="s">
        <v>2159</v>
      </c>
      <c r="P103" s="47" t="s">
        <v>798</v>
      </c>
      <c r="Q103" s="27" t="s">
        <v>23</v>
      </c>
      <c r="R103" s="423" t="s">
        <v>2160</v>
      </c>
      <c r="S103" s="22">
        <v>6542859</v>
      </c>
    </row>
    <row r="104" spans="1:19" ht="15" x14ac:dyDescent="0.25">
      <c r="A104" s="109" t="s">
        <v>87</v>
      </c>
      <c r="B104" s="109" t="s">
        <v>13</v>
      </c>
      <c r="C104" s="15" t="s">
        <v>14</v>
      </c>
      <c r="D104" s="121">
        <v>110</v>
      </c>
      <c r="E104" s="121" t="s">
        <v>2161</v>
      </c>
      <c r="F104" s="129" t="s">
        <v>34</v>
      </c>
      <c r="G104" s="124" t="s">
        <v>800</v>
      </c>
      <c r="H104" s="17" t="s">
        <v>801</v>
      </c>
      <c r="I104" s="19" t="s">
        <v>14</v>
      </c>
      <c r="J104" s="20" t="s">
        <v>802</v>
      </c>
      <c r="K104" s="20" t="s">
        <v>92</v>
      </c>
      <c r="L104" s="423" t="s">
        <v>2170</v>
      </c>
      <c r="M104" s="20" t="s">
        <v>803</v>
      </c>
      <c r="N104" s="14" t="s">
        <v>21</v>
      </c>
      <c r="O104" s="423" t="s">
        <v>2159</v>
      </c>
      <c r="P104" s="21" t="s">
        <v>804</v>
      </c>
      <c r="Q104" s="14" t="s">
        <v>23</v>
      </c>
      <c r="R104" s="423" t="s">
        <v>2160</v>
      </c>
      <c r="S104" s="15" t="s">
        <v>805</v>
      </c>
    </row>
    <row r="105" spans="1:19" ht="15" x14ac:dyDescent="0.25">
      <c r="A105" s="51" t="s">
        <v>87</v>
      </c>
      <c r="B105" s="51" t="s">
        <v>13</v>
      </c>
      <c r="C105" s="30" t="s">
        <v>14</v>
      </c>
      <c r="D105" s="114">
        <v>111</v>
      </c>
      <c r="E105" s="114" t="s">
        <v>2157</v>
      </c>
      <c r="F105" s="128" t="s">
        <v>15</v>
      </c>
      <c r="G105" s="43" t="s">
        <v>807</v>
      </c>
      <c r="H105" s="128" t="s">
        <v>808</v>
      </c>
      <c r="I105" s="29" t="s">
        <v>14</v>
      </c>
      <c r="J105" s="47" t="s">
        <v>809</v>
      </c>
      <c r="K105" s="47" t="s">
        <v>92</v>
      </c>
      <c r="L105" s="423" t="s">
        <v>2170</v>
      </c>
      <c r="M105" s="27" t="s">
        <v>810</v>
      </c>
      <c r="N105" s="27" t="s">
        <v>21</v>
      </c>
      <c r="O105" s="423" t="s">
        <v>2159</v>
      </c>
      <c r="P105" s="48" t="s">
        <v>811</v>
      </c>
      <c r="Q105" s="27" t="s">
        <v>23</v>
      </c>
      <c r="R105" s="423" t="s">
        <v>2160</v>
      </c>
      <c r="S105" s="14">
        <v>6517918</v>
      </c>
    </row>
    <row r="106" spans="1:19" ht="15" x14ac:dyDescent="0.25">
      <c r="A106" s="109" t="s">
        <v>87</v>
      </c>
      <c r="B106" s="109" t="s">
        <v>13</v>
      </c>
      <c r="C106" s="15" t="s">
        <v>14</v>
      </c>
      <c r="D106" s="121">
        <v>112</v>
      </c>
      <c r="E106" s="121" t="s">
        <v>2169</v>
      </c>
      <c r="F106" s="129" t="s">
        <v>88</v>
      </c>
      <c r="G106" s="124" t="s">
        <v>813</v>
      </c>
      <c r="H106" s="17" t="s">
        <v>814</v>
      </c>
      <c r="I106" s="19" t="s">
        <v>14</v>
      </c>
      <c r="J106" s="20" t="s">
        <v>815</v>
      </c>
      <c r="K106" s="20" t="s">
        <v>92</v>
      </c>
      <c r="L106" s="423" t="s">
        <v>2170</v>
      </c>
      <c r="M106" s="14" t="s">
        <v>816</v>
      </c>
      <c r="N106" s="14" t="s">
        <v>21</v>
      </c>
      <c r="O106" s="423" t="s">
        <v>2159</v>
      </c>
      <c r="P106" s="21" t="s">
        <v>817</v>
      </c>
      <c r="Q106" s="14" t="s">
        <v>23</v>
      </c>
      <c r="R106" s="423" t="s">
        <v>2160</v>
      </c>
      <c r="S106" s="22">
        <v>583</v>
      </c>
    </row>
    <row r="107" spans="1:19" ht="15" x14ac:dyDescent="0.25">
      <c r="A107" s="51" t="s">
        <v>87</v>
      </c>
      <c r="B107" s="51" t="s">
        <v>819</v>
      </c>
      <c r="C107" s="30" t="s">
        <v>14</v>
      </c>
      <c r="D107" s="106">
        <v>113</v>
      </c>
      <c r="E107" s="106"/>
      <c r="F107" s="92" t="s">
        <v>34</v>
      </c>
      <c r="G107" s="88" t="s">
        <v>820</v>
      </c>
      <c r="H107" s="45" t="s">
        <v>551</v>
      </c>
      <c r="I107" s="29" t="s">
        <v>14</v>
      </c>
      <c r="J107" s="27" t="s">
        <v>821</v>
      </c>
      <c r="K107" s="47" t="s">
        <v>92</v>
      </c>
      <c r="L107" s="423" t="s">
        <v>2170</v>
      </c>
      <c r="M107" s="27" t="s">
        <v>822</v>
      </c>
      <c r="N107" s="27" t="s">
        <v>58</v>
      </c>
      <c r="O107" s="423" t="s">
        <v>2165</v>
      </c>
      <c r="P107" s="39" t="s">
        <v>823</v>
      </c>
      <c r="Q107" s="27" t="s">
        <v>23</v>
      </c>
      <c r="R107" s="423" t="s">
        <v>2160</v>
      </c>
      <c r="S107" s="1" t="s">
        <v>824</v>
      </c>
    </row>
    <row r="108" spans="1:19" ht="15" x14ac:dyDescent="0.25">
      <c r="A108" s="109" t="s">
        <v>87</v>
      </c>
      <c r="B108" s="109" t="s">
        <v>13</v>
      </c>
      <c r="C108" s="15" t="s">
        <v>14</v>
      </c>
      <c r="D108" s="110">
        <v>114</v>
      </c>
      <c r="E108" s="110" t="s">
        <v>2162</v>
      </c>
      <c r="F108" s="129" t="s">
        <v>44</v>
      </c>
      <c r="G108" s="124" t="s">
        <v>826</v>
      </c>
      <c r="H108" s="17" t="s">
        <v>206</v>
      </c>
      <c r="I108" s="19" t="s">
        <v>14</v>
      </c>
      <c r="J108" s="14" t="s">
        <v>827</v>
      </c>
      <c r="K108" s="20" t="s">
        <v>92</v>
      </c>
      <c r="L108" s="423" t="s">
        <v>2170</v>
      </c>
      <c r="M108" s="14" t="s">
        <v>828</v>
      </c>
      <c r="N108" s="14" t="s">
        <v>21</v>
      </c>
      <c r="O108" s="423" t="s">
        <v>2159</v>
      </c>
      <c r="P108" s="21" t="s">
        <v>829</v>
      </c>
      <c r="Q108" s="15" t="s">
        <v>23</v>
      </c>
      <c r="R108" s="423" t="s">
        <v>2160</v>
      </c>
      <c r="S108" s="22" t="s">
        <v>830</v>
      </c>
    </row>
    <row r="109" spans="1:19" ht="15" x14ac:dyDescent="0.25">
      <c r="A109" s="51" t="s">
        <v>87</v>
      </c>
      <c r="B109" s="51" t="s">
        <v>13</v>
      </c>
      <c r="C109" s="30" t="s">
        <v>14</v>
      </c>
      <c r="D109" s="114">
        <v>115</v>
      </c>
      <c r="E109" s="114" t="s">
        <v>2169</v>
      </c>
      <c r="F109" s="45" t="s">
        <v>88</v>
      </c>
      <c r="G109" s="50" t="s">
        <v>832</v>
      </c>
      <c r="H109" s="45" t="s">
        <v>833</v>
      </c>
      <c r="I109" s="29" t="s">
        <v>14</v>
      </c>
      <c r="J109" s="47" t="s">
        <v>834</v>
      </c>
      <c r="K109" s="47" t="s">
        <v>92</v>
      </c>
      <c r="L109" s="423" t="s">
        <v>2170</v>
      </c>
      <c r="M109" s="47" t="s">
        <v>835</v>
      </c>
      <c r="N109" s="27" t="s">
        <v>21</v>
      </c>
      <c r="O109" s="423" t="s">
        <v>2159</v>
      </c>
      <c r="P109" s="48" t="s">
        <v>836</v>
      </c>
      <c r="Q109" s="30" t="s">
        <v>23</v>
      </c>
      <c r="R109" s="423" t="s">
        <v>2160</v>
      </c>
      <c r="S109" s="25" t="s">
        <v>837</v>
      </c>
    </row>
    <row r="110" spans="1:19" ht="15" x14ac:dyDescent="0.25">
      <c r="A110" s="51" t="s">
        <v>87</v>
      </c>
      <c r="B110" s="51" t="s">
        <v>13</v>
      </c>
      <c r="C110" s="30" t="s">
        <v>14</v>
      </c>
      <c r="D110" s="114">
        <v>116</v>
      </c>
      <c r="E110" s="114" t="s">
        <v>2161</v>
      </c>
      <c r="F110" s="79" t="s">
        <v>34</v>
      </c>
      <c r="G110" s="79" t="s">
        <v>446</v>
      </c>
      <c r="H110" s="45" t="s">
        <v>487</v>
      </c>
      <c r="I110" s="29" t="s">
        <v>14</v>
      </c>
      <c r="J110" s="47" t="s">
        <v>839</v>
      </c>
      <c r="K110" s="47" t="s">
        <v>92</v>
      </c>
      <c r="L110" s="423" t="s">
        <v>2170</v>
      </c>
      <c r="M110" s="47" t="s">
        <v>840</v>
      </c>
      <c r="N110" s="27" t="s">
        <v>21</v>
      </c>
      <c r="O110" s="423" t="s">
        <v>2159</v>
      </c>
      <c r="P110" s="48" t="s">
        <v>841</v>
      </c>
      <c r="Q110" s="30" t="s">
        <v>23</v>
      </c>
      <c r="R110" s="423" t="s">
        <v>2160</v>
      </c>
      <c r="S110" s="25" t="s">
        <v>842</v>
      </c>
    </row>
    <row r="111" spans="1:19" ht="15" x14ac:dyDescent="0.25">
      <c r="A111" s="51" t="s">
        <v>87</v>
      </c>
      <c r="B111" s="51" t="s">
        <v>13</v>
      </c>
      <c r="C111" s="30" t="s">
        <v>14</v>
      </c>
      <c r="D111" s="114">
        <v>117</v>
      </c>
      <c r="E111" s="114" t="s">
        <v>2162</v>
      </c>
      <c r="F111" s="45" t="s">
        <v>44</v>
      </c>
      <c r="G111" s="50" t="s">
        <v>844</v>
      </c>
      <c r="H111" s="45" t="s">
        <v>845</v>
      </c>
      <c r="I111" s="29" t="s">
        <v>14</v>
      </c>
      <c r="J111" s="47" t="s">
        <v>846</v>
      </c>
      <c r="K111" s="47" t="s">
        <v>92</v>
      </c>
      <c r="L111" s="423" t="s">
        <v>2170</v>
      </c>
      <c r="M111" s="47" t="s">
        <v>847</v>
      </c>
      <c r="N111" s="25" t="s">
        <v>58</v>
      </c>
      <c r="O111" s="423" t="s">
        <v>2165</v>
      </c>
      <c r="P111" s="48" t="s">
        <v>848</v>
      </c>
      <c r="Q111" s="27" t="s">
        <v>23</v>
      </c>
      <c r="R111" s="423" t="s">
        <v>2160</v>
      </c>
      <c r="S111" s="25" t="s">
        <v>849</v>
      </c>
    </row>
    <row r="112" spans="1:19" ht="15" x14ac:dyDescent="0.25">
      <c r="A112" s="51" t="s">
        <v>87</v>
      </c>
      <c r="B112" s="51" t="s">
        <v>13</v>
      </c>
      <c r="C112" s="30" t="s">
        <v>14</v>
      </c>
      <c r="D112" s="114">
        <v>118</v>
      </c>
      <c r="E112" s="114" t="s">
        <v>2161</v>
      </c>
      <c r="F112" s="79" t="s">
        <v>34</v>
      </c>
      <c r="G112" s="50" t="s">
        <v>851</v>
      </c>
      <c r="H112" s="88" t="s">
        <v>559</v>
      </c>
      <c r="I112" s="29" t="s">
        <v>14</v>
      </c>
      <c r="J112" s="47" t="s">
        <v>852</v>
      </c>
      <c r="K112" s="47" t="s">
        <v>92</v>
      </c>
      <c r="L112" s="423" t="s">
        <v>2170</v>
      </c>
      <c r="M112" s="47" t="s">
        <v>853</v>
      </c>
      <c r="N112" s="27" t="s">
        <v>21</v>
      </c>
      <c r="O112" s="423" t="s">
        <v>2159</v>
      </c>
      <c r="P112" s="48">
        <v>239593</v>
      </c>
      <c r="Q112" s="27" t="s">
        <v>23</v>
      </c>
      <c r="R112" s="423" t="s">
        <v>2160</v>
      </c>
      <c r="S112" s="25" t="s">
        <v>854</v>
      </c>
    </row>
    <row r="113" spans="1:19" ht="15" x14ac:dyDescent="0.25">
      <c r="A113" s="51" t="s">
        <v>87</v>
      </c>
      <c r="B113" s="51" t="s">
        <v>13</v>
      </c>
      <c r="C113" s="30" t="s">
        <v>14</v>
      </c>
      <c r="D113" s="106">
        <v>119</v>
      </c>
      <c r="E113" s="106" t="s">
        <v>2162</v>
      </c>
      <c r="F113" s="79" t="s">
        <v>44</v>
      </c>
      <c r="G113" s="46" t="s">
        <v>857</v>
      </c>
      <c r="H113" s="88" t="s">
        <v>858</v>
      </c>
      <c r="I113" s="29" t="s">
        <v>14</v>
      </c>
      <c r="J113" s="27" t="s">
        <v>859</v>
      </c>
      <c r="K113" s="47" t="s">
        <v>92</v>
      </c>
      <c r="L113" s="423" t="s">
        <v>2170</v>
      </c>
      <c r="M113" s="27" t="s">
        <v>860</v>
      </c>
      <c r="N113" s="48" t="s">
        <v>21</v>
      </c>
      <c r="O113" s="423" t="s">
        <v>2159</v>
      </c>
      <c r="P113" s="48" t="s">
        <v>861</v>
      </c>
      <c r="Q113" s="27" t="s">
        <v>23</v>
      </c>
      <c r="R113" s="423" t="s">
        <v>2160</v>
      </c>
      <c r="S113" s="51" t="s">
        <v>862</v>
      </c>
    </row>
    <row r="114" spans="1:19" ht="15" x14ac:dyDescent="0.25">
      <c r="A114" s="51" t="s">
        <v>87</v>
      </c>
      <c r="B114" s="51" t="s">
        <v>13</v>
      </c>
      <c r="C114" s="30" t="s">
        <v>14</v>
      </c>
      <c r="D114" s="114">
        <v>120</v>
      </c>
      <c r="E114" s="114" t="s">
        <v>2169</v>
      </c>
      <c r="F114" s="79" t="s">
        <v>88</v>
      </c>
      <c r="G114" s="46" t="s">
        <v>865</v>
      </c>
      <c r="H114" s="88" t="s">
        <v>866</v>
      </c>
      <c r="I114" s="29" t="s">
        <v>14</v>
      </c>
      <c r="J114" s="47" t="s">
        <v>867</v>
      </c>
      <c r="K114" s="47" t="s">
        <v>92</v>
      </c>
      <c r="L114" s="423" t="s">
        <v>2170</v>
      </c>
      <c r="M114" s="47" t="s">
        <v>868</v>
      </c>
      <c r="N114" s="48" t="s">
        <v>21</v>
      </c>
      <c r="O114" s="423" t="s">
        <v>2159</v>
      </c>
      <c r="P114" s="47" t="s">
        <v>869</v>
      </c>
      <c r="Q114" s="25" t="s">
        <v>23</v>
      </c>
      <c r="R114" s="423" t="s">
        <v>2160</v>
      </c>
      <c r="S114" s="30" t="s">
        <v>870</v>
      </c>
    </row>
    <row r="115" spans="1:19" ht="15" x14ac:dyDescent="0.25">
      <c r="A115" s="51" t="s">
        <v>87</v>
      </c>
      <c r="B115" s="51" t="s">
        <v>13</v>
      </c>
      <c r="C115" s="30" t="s">
        <v>14</v>
      </c>
      <c r="D115" s="114">
        <v>121</v>
      </c>
      <c r="E115" s="114" t="s">
        <v>2185</v>
      </c>
      <c r="F115" s="79" t="s">
        <v>287</v>
      </c>
      <c r="G115" s="46" t="s">
        <v>872</v>
      </c>
      <c r="H115" s="88" t="s">
        <v>55</v>
      </c>
      <c r="I115" s="29" t="s">
        <v>14</v>
      </c>
      <c r="J115" s="47" t="s">
        <v>873</v>
      </c>
      <c r="K115" s="47" t="s">
        <v>92</v>
      </c>
      <c r="L115" s="423" t="s">
        <v>2170</v>
      </c>
      <c r="M115" s="47" t="s">
        <v>874</v>
      </c>
      <c r="N115" s="25" t="s">
        <v>58</v>
      </c>
      <c r="O115" s="423" t="s">
        <v>2165</v>
      </c>
      <c r="P115" s="48" t="s">
        <v>875</v>
      </c>
      <c r="Q115" s="27" t="s">
        <v>23</v>
      </c>
      <c r="R115" s="423" t="s">
        <v>2160</v>
      </c>
      <c r="S115" s="25" t="s">
        <v>876</v>
      </c>
    </row>
    <row r="116" spans="1:19" ht="15" x14ac:dyDescent="0.25">
      <c r="A116" s="51" t="s">
        <v>87</v>
      </c>
      <c r="B116" s="51" t="s">
        <v>13</v>
      </c>
      <c r="C116" s="30" t="s">
        <v>14</v>
      </c>
      <c r="D116" s="114">
        <v>122</v>
      </c>
      <c r="E116" s="114" t="s">
        <v>2162</v>
      </c>
      <c r="F116" s="79" t="s">
        <v>44</v>
      </c>
      <c r="G116" s="46" t="s">
        <v>878</v>
      </c>
      <c r="H116" s="45" t="s">
        <v>879</v>
      </c>
      <c r="I116" s="29" t="s">
        <v>14</v>
      </c>
      <c r="J116" s="47" t="s">
        <v>880</v>
      </c>
      <c r="K116" s="47" t="s">
        <v>92</v>
      </c>
      <c r="L116" s="423" t="s">
        <v>2170</v>
      </c>
      <c r="M116" s="47" t="s">
        <v>881</v>
      </c>
      <c r="N116" s="25" t="s">
        <v>58</v>
      </c>
      <c r="O116" s="423" t="s">
        <v>2165</v>
      </c>
      <c r="P116" s="48" t="s">
        <v>882</v>
      </c>
      <c r="Q116" s="27" t="s">
        <v>23</v>
      </c>
      <c r="R116" s="423" t="s">
        <v>2160</v>
      </c>
      <c r="S116" s="25" t="s">
        <v>883</v>
      </c>
    </row>
    <row r="117" spans="1:19" ht="15" x14ac:dyDescent="0.25">
      <c r="A117" s="51" t="s">
        <v>87</v>
      </c>
      <c r="B117" s="51" t="s">
        <v>13</v>
      </c>
      <c r="C117" s="30" t="s">
        <v>14</v>
      </c>
      <c r="D117" s="114">
        <v>123</v>
      </c>
      <c r="E117" s="114" t="s">
        <v>2161</v>
      </c>
      <c r="F117" s="45" t="s">
        <v>34</v>
      </c>
      <c r="G117" s="50" t="s">
        <v>885</v>
      </c>
      <c r="H117" s="45" t="s">
        <v>692</v>
      </c>
      <c r="I117" s="29" t="s">
        <v>14</v>
      </c>
      <c r="J117" s="47" t="s">
        <v>886</v>
      </c>
      <c r="K117" s="47" t="s">
        <v>92</v>
      </c>
      <c r="L117" s="423" t="s">
        <v>2170</v>
      </c>
      <c r="M117" s="47" t="s">
        <v>887</v>
      </c>
      <c r="N117" s="27" t="s">
        <v>58</v>
      </c>
      <c r="O117" s="423" t="s">
        <v>2165</v>
      </c>
      <c r="P117" s="48" t="s">
        <v>888</v>
      </c>
      <c r="Q117" s="27" t="s">
        <v>23</v>
      </c>
      <c r="R117" s="423" t="s">
        <v>2160</v>
      </c>
      <c r="S117" s="25" t="s">
        <v>889</v>
      </c>
    </row>
    <row r="118" spans="1:19" ht="15" x14ac:dyDescent="0.25">
      <c r="A118" s="109" t="s">
        <v>87</v>
      </c>
      <c r="B118" s="109" t="s">
        <v>13</v>
      </c>
      <c r="C118" s="14" t="s">
        <v>14</v>
      </c>
      <c r="D118" s="16">
        <v>125</v>
      </c>
      <c r="E118" s="16" t="s">
        <v>2162</v>
      </c>
      <c r="F118" s="129" t="s">
        <v>44</v>
      </c>
      <c r="G118" s="124" t="s">
        <v>897</v>
      </c>
      <c r="H118" s="17" t="s">
        <v>226</v>
      </c>
      <c r="I118" s="19" t="s">
        <v>14</v>
      </c>
      <c r="J118" s="14" t="s">
        <v>898</v>
      </c>
      <c r="K118" s="20" t="s">
        <v>92</v>
      </c>
      <c r="L118" s="423" t="s">
        <v>2170</v>
      </c>
      <c r="M118" s="14" t="s">
        <v>899</v>
      </c>
      <c r="N118" s="22" t="s">
        <v>58</v>
      </c>
      <c r="O118" s="423" t="s">
        <v>2165</v>
      </c>
      <c r="P118" s="21" t="s">
        <v>900</v>
      </c>
      <c r="Q118" s="15" t="s">
        <v>23</v>
      </c>
      <c r="R118" s="423" t="s">
        <v>2160</v>
      </c>
      <c r="S118" s="22" t="s">
        <v>901</v>
      </c>
    </row>
    <row r="119" spans="1:19" ht="15" x14ac:dyDescent="0.25">
      <c r="A119" s="51" t="s">
        <v>87</v>
      </c>
      <c r="B119" s="51" t="s">
        <v>13</v>
      </c>
      <c r="C119" s="27" t="s">
        <v>14</v>
      </c>
      <c r="D119" s="53">
        <v>126</v>
      </c>
      <c r="E119" s="53" t="s">
        <v>2164</v>
      </c>
      <c r="F119" s="45" t="s">
        <v>53</v>
      </c>
      <c r="G119" s="50" t="s">
        <v>903</v>
      </c>
      <c r="H119" s="88" t="s">
        <v>447</v>
      </c>
      <c r="I119" s="29" t="s">
        <v>14</v>
      </c>
      <c r="J119" s="47" t="s">
        <v>904</v>
      </c>
      <c r="K119" s="47" t="s">
        <v>92</v>
      </c>
      <c r="L119" s="423" t="s">
        <v>2170</v>
      </c>
      <c r="M119" s="47" t="s">
        <v>905</v>
      </c>
      <c r="N119" s="48" t="s">
        <v>58</v>
      </c>
      <c r="O119" s="423" t="s">
        <v>2165</v>
      </c>
      <c r="P119" s="48" t="s">
        <v>906</v>
      </c>
      <c r="Q119" s="27" t="s">
        <v>23</v>
      </c>
      <c r="R119" s="423" t="s">
        <v>2160</v>
      </c>
      <c r="S119" s="25" t="s">
        <v>907</v>
      </c>
    </row>
    <row r="120" spans="1:19" ht="15" x14ac:dyDescent="0.25">
      <c r="A120" s="51" t="s">
        <v>87</v>
      </c>
      <c r="B120" s="51" t="s">
        <v>13</v>
      </c>
      <c r="C120" s="27" t="s">
        <v>14</v>
      </c>
      <c r="D120" s="53">
        <v>127</v>
      </c>
      <c r="E120" s="53" t="s">
        <v>2162</v>
      </c>
      <c r="F120" s="45" t="s">
        <v>44</v>
      </c>
      <c r="G120" s="50" t="s">
        <v>911</v>
      </c>
      <c r="H120" s="88" t="s">
        <v>245</v>
      </c>
      <c r="I120" s="29" t="s">
        <v>14</v>
      </c>
      <c r="J120" s="47" t="s">
        <v>912</v>
      </c>
      <c r="K120" s="47" t="s">
        <v>92</v>
      </c>
      <c r="L120" s="423" t="s">
        <v>2170</v>
      </c>
      <c r="M120" s="47" t="s">
        <v>913</v>
      </c>
      <c r="N120" s="48" t="s">
        <v>21</v>
      </c>
      <c r="O120" s="423" t="s">
        <v>2159</v>
      </c>
      <c r="P120" s="48" t="s">
        <v>914</v>
      </c>
      <c r="Q120" s="27" t="s">
        <v>23</v>
      </c>
      <c r="R120" s="423" t="s">
        <v>2160</v>
      </c>
      <c r="S120" s="40">
        <v>74106815</v>
      </c>
    </row>
    <row r="121" spans="1:19" ht="15" x14ac:dyDescent="0.25">
      <c r="A121" s="109" t="s">
        <v>87</v>
      </c>
      <c r="B121" s="109" t="s">
        <v>13</v>
      </c>
      <c r="C121" s="14" t="s">
        <v>14</v>
      </c>
      <c r="D121" s="158">
        <v>130</v>
      </c>
      <c r="E121" s="158" t="s">
        <v>2162</v>
      </c>
      <c r="F121" s="85" t="s">
        <v>44</v>
      </c>
      <c r="G121" s="85" t="s">
        <v>924</v>
      </c>
      <c r="H121" s="85" t="s">
        <v>467</v>
      </c>
      <c r="I121" s="19" t="s">
        <v>14</v>
      </c>
      <c r="J121" s="20" t="s">
        <v>925</v>
      </c>
      <c r="K121" s="20" t="s">
        <v>92</v>
      </c>
      <c r="L121" s="423" t="s">
        <v>2170</v>
      </c>
      <c r="M121" s="14" t="s">
        <v>926</v>
      </c>
      <c r="N121" s="22" t="s">
        <v>58</v>
      </c>
      <c r="O121" s="423" t="s">
        <v>2165</v>
      </c>
      <c r="P121" s="21" t="s">
        <v>927</v>
      </c>
      <c r="Q121" s="14" t="s">
        <v>23</v>
      </c>
      <c r="R121" s="423" t="s">
        <v>2160</v>
      </c>
      <c r="S121" s="22" t="s">
        <v>928</v>
      </c>
    </row>
    <row r="122" spans="1:19" ht="15" x14ac:dyDescent="0.25">
      <c r="A122" s="51" t="s">
        <v>480</v>
      </c>
      <c r="B122" s="51" t="s">
        <v>819</v>
      </c>
      <c r="C122" s="27" t="s">
        <v>14</v>
      </c>
      <c r="D122" s="53">
        <v>132</v>
      </c>
      <c r="E122" s="53"/>
      <c r="F122" s="92" t="s">
        <v>53</v>
      </c>
      <c r="G122" s="88" t="s">
        <v>935</v>
      </c>
      <c r="H122" s="45" t="s">
        <v>936</v>
      </c>
      <c r="I122" s="29" t="s">
        <v>14</v>
      </c>
      <c r="J122" s="47" t="s">
        <v>937</v>
      </c>
      <c r="K122" s="47" t="s">
        <v>92</v>
      </c>
      <c r="L122" s="423" t="s">
        <v>2170</v>
      </c>
      <c r="M122" s="27" t="s">
        <v>938</v>
      </c>
      <c r="N122" s="25"/>
      <c r="O122" s="25"/>
      <c r="P122" s="48"/>
      <c r="Q122" s="30" t="s">
        <v>23</v>
      </c>
      <c r="R122" s="423" t="s">
        <v>2160</v>
      </c>
      <c r="S122" s="30" t="s">
        <v>939</v>
      </c>
    </row>
    <row r="123" spans="1:19" ht="15" x14ac:dyDescent="0.25">
      <c r="A123" s="109" t="s">
        <v>620</v>
      </c>
      <c r="B123" s="109" t="s">
        <v>13</v>
      </c>
      <c r="C123" s="14" t="s">
        <v>14</v>
      </c>
      <c r="D123" s="158">
        <v>133</v>
      </c>
      <c r="E123" s="158" t="s">
        <v>2162</v>
      </c>
      <c r="F123" s="122" t="s">
        <v>44</v>
      </c>
      <c r="G123" s="124" t="s">
        <v>941</v>
      </c>
      <c r="H123" s="17" t="s">
        <v>206</v>
      </c>
      <c r="I123" s="19" t="s">
        <v>14</v>
      </c>
      <c r="J123" s="20" t="s">
        <v>942</v>
      </c>
      <c r="K123" s="20" t="s">
        <v>92</v>
      </c>
      <c r="L123" s="423" t="s">
        <v>2170</v>
      </c>
      <c r="M123" s="20" t="s">
        <v>943</v>
      </c>
      <c r="N123" s="22" t="s">
        <v>21</v>
      </c>
      <c r="O123" s="423" t="s">
        <v>2159</v>
      </c>
      <c r="P123" s="21" t="s">
        <v>944</v>
      </c>
      <c r="Q123" s="15" t="s">
        <v>23</v>
      </c>
      <c r="R123" s="423" t="s">
        <v>2160</v>
      </c>
      <c r="S123" s="15" t="s">
        <v>945</v>
      </c>
    </row>
    <row r="124" spans="1:19" ht="15" x14ac:dyDescent="0.25">
      <c r="A124" s="51" t="s">
        <v>620</v>
      </c>
      <c r="B124" s="51" t="s">
        <v>13</v>
      </c>
      <c r="C124" s="27" t="s">
        <v>14</v>
      </c>
      <c r="D124" s="35">
        <v>135</v>
      </c>
      <c r="E124" s="35" t="s">
        <v>2164</v>
      </c>
      <c r="F124" s="89" t="s">
        <v>53</v>
      </c>
      <c r="G124" s="119" t="s">
        <v>951</v>
      </c>
      <c r="H124" s="45" t="s">
        <v>501</v>
      </c>
      <c r="I124" s="29" t="s">
        <v>14</v>
      </c>
      <c r="J124" s="47" t="s">
        <v>952</v>
      </c>
      <c r="K124" s="47" t="s">
        <v>92</v>
      </c>
      <c r="L124" s="423" t="s">
        <v>2170</v>
      </c>
      <c r="M124" s="47" t="s">
        <v>953</v>
      </c>
      <c r="N124" s="25"/>
      <c r="O124" s="25"/>
      <c r="P124" s="48"/>
      <c r="Q124" s="27" t="s">
        <v>23</v>
      </c>
      <c r="R124" s="423" t="s">
        <v>2160</v>
      </c>
      <c r="S124" s="25" t="s">
        <v>954</v>
      </c>
    </row>
    <row r="125" spans="1:19" ht="15" x14ac:dyDescent="0.25">
      <c r="A125" s="109" t="s">
        <v>620</v>
      </c>
      <c r="B125" s="109" t="s">
        <v>13</v>
      </c>
      <c r="C125" s="14" t="s">
        <v>14</v>
      </c>
      <c r="D125" s="121">
        <v>137</v>
      </c>
      <c r="E125" s="121" t="s">
        <v>2186</v>
      </c>
      <c r="F125" s="122" t="s">
        <v>445</v>
      </c>
      <c r="G125" s="123" t="s">
        <v>961</v>
      </c>
      <c r="H125" s="17" t="s">
        <v>962</v>
      </c>
      <c r="I125" s="19" t="s">
        <v>14</v>
      </c>
      <c r="J125" s="20" t="s">
        <v>963</v>
      </c>
      <c r="K125" s="20" t="s">
        <v>92</v>
      </c>
      <c r="L125" s="423" t="s">
        <v>2170</v>
      </c>
      <c r="M125" s="20" t="s">
        <v>964</v>
      </c>
      <c r="N125" s="14" t="s">
        <v>21</v>
      </c>
      <c r="O125" s="423" t="s">
        <v>2159</v>
      </c>
      <c r="P125" s="21" t="s">
        <v>965</v>
      </c>
      <c r="Q125" s="15" t="s">
        <v>23</v>
      </c>
      <c r="R125" s="423" t="s">
        <v>2160</v>
      </c>
      <c r="S125" s="15" t="s">
        <v>966</v>
      </c>
    </row>
    <row r="126" spans="1:19" ht="15" x14ac:dyDescent="0.25">
      <c r="A126" s="47" t="s">
        <v>620</v>
      </c>
      <c r="B126" s="51" t="s">
        <v>13</v>
      </c>
      <c r="C126" s="27" t="s">
        <v>14</v>
      </c>
      <c r="D126" s="114">
        <v>138</v>
      </c>
      <c r="E126" s="114" t="s">
        <v>2162</v>
      </c>
      <c r="F126" s="89" t="s">
        <v>44</v>
      </c>
      <c r="G126" s="119" t="s">
        <v>969</v>
      </c>
      <c r="H126" s="55" t="s">
        <v>962</v>
      </c>
      <c r="I126" s="29" t="s">
        <v>14</v>
      </c>
      <c r="J126" s="47" t="s">
        <v>970</v>
      </c>
      <c r="K126" s="47" t="s">
        <v>92</v>
      </c>
      <c r="L126" s="423" t="s">
        <v>2170</v>
      </c>
      <c r="M126" s="47" t="s">
        <v>971</v>
      </c>
      <c r="N126" s="25" t="s">
        <v>58</v>
      </c>
      <c r="O126" s="423" t="s">
        <v>2165</v>
      </c>
      <c r="P126" s="48" t="s">
        <v>972</v>
      </c>
      <c r="Q126" s="30" t="s">
        <v>23</v>
      </c>
      <c r="R126" s="423" t="s">
        <v>2160</v>
      </c>
      <c r="S126" s="30" t="s">
        <v>973</v>
      </c>
    </row>
    <row r="127" spans="1:19" ht="15" x14ac:dyDescent="0.25">
      <c r="A127" s="47" t="s">
        <v>273</v>
      </c>
      <c r="B127" s="51" t="s">
        <v>13</v>
      </c>
      <c r="C127" s="30" t="s">
        <v>14</v>
      </c>
      <c r="D127" s="114">
        <v>139</v>
      </c>
      <c r="E127" s="114" t="s">
        <v>2185</v>
      </c>
      <c r="F127" s="89" t="s">
        <v>287</v>
      </c>
      <c r="G127" s="119" t="s">
        <v>975</v>
      </c>
      <c r="H127" s="55" t="s">
        <v>976</v>
      </c>
      <c r="I127" s="29" t="s">
        <v>14</v>
      </c>
      <c r="J127" s="47" t="s">
        <v>977</v>
      </c>
      <c r="K127" s="47" t="s">
        <v>92</v>
      </c>
      <c r="L127" s="423" t="s">
        <v>2170</v>
      </c>
      <c r="M127" s="47" t="s">
        <v>978</v>
      </c>
      <c r="N127" s="27" t="s">
        <v>58</v>
      </c>
      <c r="O127" s="423" t="s">
        <v>2165</v>
      </c>
      <c r="P127" s="48" t="s">
        <v>979</v>
      </c>
      <c r="Q127" s="30" t="s">
        <v>23</v>
      </c>
      <c r="R127" s="423" t="s">
        <v>2160</v>
      </c>
      <c r="S127" s="30" t="s">
        <v>980</v>
      </c>
    </row>
    <row r="128" spans="1:19" ht="15" x14ac:dyDescent="0.25">
      <c r="A128" s="51" t="s">
        <v>273</v>
      </c>
      <c r="B128" s="51" t="s">
        <v>13</v>
      </c>
      <c r="C128" s="27" t="s">
        <v>14</v>
      </c>
      <c r="D128" s="53">
        <v>140</v>
      </c>
      <c r="E128" s="53" t="s">
        <v>2185</v>
      </c>
      <c r="F128" s="92" t="s">
        <v>287</v>
      </c>
      <c r="G128" s="88" t="s">
        <v>982</v>
      </c>
      <c r="H128" s="45" t="s">
        <v>225</v>
      </c>
      <c r="I128" s="29" t="s">
        <v>14</v>
      </c>
      <c r="J128" s="47" t="s">
        <v>983</v>
      </c>
      <c r="K128" s="47" t="s">
        <v>92</v>
      </c>
      <c r="L128" s="423" t="s">
        <v>2170</v>
      </c>
      <c r="M128" s="47" t="s">
        <v>984</v>
      </c>
      <c r="N128" s="27" t="s">
        <v>58</v>
      </c>
      <c r="O128" s="423" t="s">
        <v>2165</v>
      </c>
      <c r="P128" s="48" t="s">
        <v>985</v>
      </c>
      <c r="Q128" s="30" t="s">
        <v>23</v>
      </c>
      <c r="R128" s="423" t="s">
        <v>2160</v>
      </c>
      <c r="S128" s="30" t="s">
        <v>986</v>
      </c>
    </row>
    <row r="129" spans="1:19" ht="15" x14ac:dyDescent="0.25">
      <c r="A129" s="2" t="s">
        <v>273</v>
      </c>
      <c r="B129" s="93" t="s">
        <v>13</v>
      </c>
      <c r="C129" s="2" t="s">
        <v>14</v>
      </c>
      <c r="D129" s="165">
        <v>141</v>
      </c>
      <c r="E129" s="165" t="s">
        <v>2185</v>
      </c>
      <c r="F129" s="55" t="s">
        <v>287</v>
      </c>
      <c r="G129" s="55" t="s">
        <v>989</v>
      </c>
      <c r="H129" s="55" t="s">
        <v>990</v>
      </c>
      <c r="I129" s="2" t="s">
        <v>14</v>
      </c>
      <c r="J129" s="47" t="s">
        <v>991</v>
      </c>
      <c r="K129" s="47" t="s">
        <v>92</v>
      </c>
      <c r="L129" s="423" t="s">
        <v>2170</v>
      </c>
      <c r="M129" s="47" t="s">
        <v>992</v>
      </c>
      <c r="N129" s="25" t="s">
        <v>58</v>
      </c>
      <c r="O129" s="423" t="s">
        <v>2165</v>
      </c>
      <c r="P129" s="48" t="s">
        <v>993</v>
      </c>
      <c r="Q129" s="27" t="s">
        <v>23</v>
      </c>
      <c r="R129" s="423" t="s">
        <v>2160</v>
      </c>
      <c r="S129" s="25" t="s">
        <v>994</v>
      </c>
    </row>
    <row r="130" spans="1:19" ht="15" x14ac:dyDescent="0.25">
      <c r="A130" s="2" t="s">
        <v>273</v>
      </c>
      <c r="B130" s="51" t="s">
        <v>13</v>
      </c>
      <c r="C130" s="30" t="s">
        <v>14</v>
      </c>
      <c r="D130" s="114">
        <v>142</v>
      </c>
      <c r="E130" s="114" t="s">
        <v>2185</v>
      </c>
      <c r="F130" s="55" t="s">
        <v>287</v>
      </c>
      <c r="G130" s="55" t="s">
        <v>996</v>
      </c>
      <c r="H130" s="55" t="s">
        <v>769</v>
      </c>
      <c r="I130" s="27" t="s">
        <v>14</v>
      </c>
      <c r="J130" s="29" t="s">
        <v>997</v>
      </c>
      <c r="K130" s="30" t="s">
        <v>92</v>
      </c>
      <c r="L130" s="423" t="s">
        <v>2170</v>
      </c>
      <c r="M130" s="24" t="s">
        <v>998</v>
      </c>
      <c r="N130" s="30" t="s">
        <v>21</v>
      </c>
      <c r="O130" s="423" t="s">
        <v>2159</v>
      </c>
      <c r="P130" s="48" t="s">
        <v>999</v>
      </c>
      <c r="Q130" s="2" t="s">
        <v>23</v>
      </c>
      <c r="R130" s="423" t="s">
        <v>2160</v>
      </c>
      <c r="S130" s="40">
        <v>74106844</v>
      </c>
    </row>
    <row r="131" spans="1:19" ht="15" x14ac:dyDescent="0.25">
      <c r="A131" s="51" t="s">
        <v>620</v>
      </c>
      <c r="B131" s="51" t="s">
        <v>13</v>
      </c>
      <c r="C131" s="30" t="s">
        <v>14</v>
      </c>
      <c r="D131" s="106">
        <v>143</v>
      </c>
      <c r="E131" s="106" t="s">
        <v>2157</v>
      </c>
      <c r="F131" s="92" t="s">
        <v>15</v>
      </c>
      <c r="G131" s="88" t="s">
        <v>1000</v>
      </c>
      <c r="H131" s="45" t="s">
        <v>90</v>
      </c>
      <c r="I131" s="29" t="s">
        <v>14</v>
      </c>
      <c r="J131" s="27" t="s">
        <v>1001</v>
      </c>
      <c r="K131" s="47" t="s">
        <v>92</v>
      </c>
      <c r="L131" s="423" t="s">
        <v>2170</v>
      </c>
      <c r="M131" s="47" t="s">
        <v>1002</v>
      </c>
      <c r="N131" s="25" t="s">
        <v>58</v>
      </c>
      <c r="O131" s="423" t="s">
        <v>2165</v>
      </c>
      <c r="P131" s="48" t="s">
        <v>1003</v>
      </c>
      <c r="Q131" s="29" t="s">
        <v>23</v>
      </c>
      <c r="R131" s="423" t="s">
        <v>2160</v>
      </c>
      <c r="S131" s="40" t="s">
        <v>1004</v>
      </c>
    </row>
    <row r="132" spans="1:19" ht="15" x14ac:dyDescent="0.25">
      <c r="A132" s="51" t="s">
        <v>620</v>
      </c>
      <c r="B132" s="51" t="s">
        <v>13</v>
      </c>
      <c r="C132" s="30" t="s">
        <v>14</v>
      </c>
      <c r="D132" s="114">
        <v>144</v>
      </c>
      <c r="E132" s="114" t="s">
        <v>2164</v>
      </c>
      <c r="F132" s="92" t="s">
        <v>53</v>
      </c>
      <c r="G132" s="88" t="s">
        <v>1006</v>
      </c>
      <c r="H132" s="45" t="s">
        <v>507</v>
      </c>
      <c r="I132" s="24" t="s">
        <v>14</v>
      </c>
      <c r="J132" s="51" t="s">
        <v>1007</v>
      </c>
      <c r="K132" s="51" t="s">
        <v>92</v>
      </c>
      <c r="L132" s="423" t="s">
        <v>2170</v>
      </c>
      <c r="M132" s="51" t="s">
        <v>1008</v>
      </c>
      <c r="N132" s="25" t="s">
        <v>58</v>
      </c>
      <c r="O132" s="423" t="s">
        <v>2165</v>
      </c>
      <c r="P132" s="48" t="s">
        <v>1009</v>
      </c>
      <c r="Q132" s="29" t="s">
        <v>23</v>
      </c>
      <c r="R132" s="423" t="s">
        <v>2160</v>
      </c>
      <c r="S132" s="40">
        <v>6543980</v>
      </c>
    </row>
    <row r="133" spans="1:19" ht="15" x14ac:dyDescent="0.25">
      <c r="A133" s="51" t="s">
        <v>697</v>
      </c>
      <c r="B133" s="51" t="s">
        <v>13</v>
      </c>
      <c r="C133" s="30" t="s">
        <v>14</v>
      </c>
      <c r="D133" s="106">
        <v>145</v>
      </c>
      <c r="E133" s="106" t="s">
        <v>2164</v>
      </c>
      <c r="F133" s="92" t="s">
        <v>53</v>
      </c>
      <c r="G133" s="88" t="s">
        <v>1011</v>
      </c>
      <c r="H133" s="45" t="s">
        <v>1012</v>
      </c>
      <c r="I133" s="2" t="s">
        <v>14</v>
      </c>
      <c r="J133" s="2" t="s">
        <v>1013</v>
      </c>
      <c r="K133" s="47" t="s">
        <v>92</v>
      </c>
      <c r="L133" s="423" t="s">
        <v>2170</v>
      </c>
      <c r="M133" s="47" t="s">
        <v>1014</v>
      </c>
      <c r="N133" s="48" t="s">
        <v>58</v>
      </c>
      <c r="O133" s="423" t="s">
        <v>2165</v>
      </c>
      <c r="P133" s="48" t="s">
        <v>1015</v>
      </c>
      <c r="Q133" s="29" t="s">
        <v>23</v>
      </c>
      <c r="R133" s="423" t="s">
        <v>2160</v>
      </c>
      <c r="S133" s="51" t="s">
        <v>1016</v>
      </c>
    </row>
    <row r="134" spans="1:19" ht="15" x14ac:dyDescent="0.25">
      <c r="A134" s="2" t="s">
        <v>697</v>
      </c>
      <c r="B134" s="93" t="s">
        <v>13</v>
      </c>
      <c r="C134" s="2" t="s">
        <v>14</v>
      </c>
      <c r="D134" s="165">
        <v>146</v>
      </c>
      <c r="E134" s="165" t="s">
        <v>2186</v>
      </c>
      <c r="F134" s="55" t="s">
        <v>445</v>
      </c>
      <c r="G134" s="46" t="s">
        <v>1018</v>
      </c>
      <c r="H134" s="55" t="s">
        <v>129</v>
      </c>
      <c r="I134" s="29" t="s">
        <v>14</v>
      </c>
      <c r="J134" s="2" t="s">
        <v>1019</v>
      </c>
      <c r="K134" s="47" t="s">
        <v>92</v>
      </c>
      <c r="L134" s="423" t="s">
        <v>2170</v>
      </c>
      <c r="M134" s="2" t="s">
        <v>1020</v>
      </c>
      <c r="N134" s="25" t="s">
        <v>21</v>
      </c>
      <c r="O134" s="423" t="s">
        <v>2159</v>
      </c>
      <c r="P134" s="48">
        <v>439346</v>
      </c>
      <c r="Q134" s="29" t="s">
        <v>23</v>
      </c>
      <c r="R134" s="423" t="s">
        <v>2160</v>
      </c>
      <c r="S134" s="25" t="s">
        <v>1021</v>
      </c>
    </row>
    <row r="135" spans="1:19" ht="15" x14ac:dyDescent="0.25">
      <c r="A135" s="51" t="s">
        <v>620</v>
      </c>
      <c r="B135" s="51" t="s">
        <v>13</v>
      </c>
      <c r="C135" s="30" t="s">
        <v>14</v>
      </c>
      <c r="D135" s="106">
        <v>147</v>
      </c>
      <c r="E135" s="106" t="s">
        <v>2162</v>
      </c>
      <c r="F135" s="92" t="s">
        <v>44</v>
      </c>
      <c r="G135" s="46" t="s">
        <v>1023</v>
      </c>
      <c r="H135" s="55" t="s">
        <v>98</v>
      </c>
      <c r="I135" s="24" t="s">
        <v>14</v>
      </c>
      <c r="J135" s="27" t="s">
        <v>1024</v>
      </c>
      <c r="K135" s="47" t="s">
        <v>92</v>
      </c>
      <c r="L135" s="423" t="s">
        <v>2170</v>
      </c>
      <c r="M135" s="47" t="s">
        <v>1025</v>
      </c>
      <c r="N135" s="25" t="s">
        <v>58</v>
      </c>
      <c r="O135" s="423" t="s">
        <v>2165</v>
      </c>
      <c r="P135" s="48" t="s">
        <v>1026</v>
      </c>
      <c r="Q135" s="29" t="s">
        <v>23</v>
      </c>
      <c r="R135" s="423" t="s">
        <v>2160</v>
      </c>
      <c r="S135" s="25" t="s">
        <v>1027</v>
      </c>
    </row>
    <row r="136" spans="1:19" ht="15" x14ac:dyDescent="0.25">
      <c r="A136" s="51" t="s">
        <v>620</v>
      </c>
      <c r="B136" s="52" t="s">
        <v>13</v>
      </c>
      <c r="C136" s="30" t="s">
        <v>14</v>
      </c>
      <c r="D136" s="103">
        <v>148</v>
      </c>
      <c r="E136" s="103" t="s">
        <v>2182</v>
      </c>
      <c r="F136" s="92" t="s">
        <v>265</v>
      </c>
      <c r="G136" s="46" t="s">
        <v>1029</v>
      </c>
      <c r="H136" s="55" t="s">
        <v>447</v>
      </c>
      <c r="I136" s="2" t="s">
        <v>14</v>
      </c>
      <c r="J136" s="87" t="s">
        <v>1030</v>
      </c>
      <c r="K136" s="51" t="s">
        <v>276</v>
      </c>
      <c r="L136" s="423" t="s">
        <v>2184</v>
      </c>
      <c r="M136" s="48" t="s">
        <v>1032</v>
      </c>
      <c r="N136" s="48" t="s">
        <v>58</v>
      </c>
      <c r="O136" s="423" t="s">
        <v>2165</v>
      </c>
      <c r="P136" s="48" t="s">
        <v>1033</v>
      </c>
      <c r="Q136" s="29" t="s">
        <v>23</v>
      </c>
      <c r="R136" s="423" t="s">
        <v>2160</v>
      </c>
      <c r="S136" s="40">
        <v>6543978</v>
      </c>
    </row>
    <row r="137" spans="1:19" ht="15" x14ac:dyDescent="0.25">
      <c r="A137" s="51" t="s">
        <v>620</v>
      </c>
      <c r="B137" s="52" t="s">
        <v>13</v>
      </c>
      <c r="C137" s="30" t="s">
        <v>14</v>
      </c>
      <c r="D137" s="103">
        <v>149</v>
      </c>
      <c r="E137" s="103" t="s">
        <v>2157</v>
      </c>
      <c r="F137" s="79" t="s">
        <v>15</v>
      </c>
      <c r="G137" s="46" t="s">
        <v>1034</v>
      </c>
      <c r="H137" s="88" t="s">
        <v>1035</v>
      </c>
      <c r="I137" s="29" t="s">
        <v>14</v>
      </c>
      <c r="J137" s="87" t="s">
        <v>1036</v>
      </c>
      <c r="K137" s="47" t="s">
        <v>92</v>
      </c>
      <c r="L137" s="423" t="s">
        <v>2170</v>
      </c>
      <c r="M137" s="48" t="s">
        <v>1037</v>
      </c>
      <c r="N137" s="25" t="s">
        <v>58</v>
      </c>
      <c r="O137" s="423" t="s">
        <v>2165</v>
      </c>
      <c r="P137" s="48" t="s">
        <v>1038</v>
      </c>
      <c r="Q137" s="29" t="s">
        <v>23</v>
      </c>
      <c r="R137" s="423" t="s">
        <v>2160</v>
      </c>
      <c r="S137" s="40">
        <v>54621272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9839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MAL</vt:lpstr>
      <vt:lpstr>REAR M4s</vt:lpstr>
      <vt:lpstr>Shermett</vt:lpstr>
      <vt:lpstr>Rhino Mount Shortage</vt:lpstr>
      <vt:lpstr>MAL KEY</vt:lpstr>
      <vt:lpstr>NON-AA&amp;E</vt:lpstr>
      <vt:lpstr>2062</vt:lpstr>
      <vt:lpstr>CONTROL LOG</vt:lpstr>
      <vt:lpstr>TPE</vt:lpstr>
      <vt:lpstr>NOT HHC</vt:lpstr>
      <vt:lpstr>Sheet11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DoD Admin</cp:lastModifiedBy>
  <cp:revision>58</cp:revision>
  <cp:lastPrinted>2020-01-03T17:29:53Z</cp:lastPrinted>
  <dcterms:created xsi:type="dcterms:W3CDTF">2009-05-15T23:30:01Z</dcterms:created>
  <dcterms:modified xsi:type="dcterms:W3CDTF">2020-06-02T19:44:55Z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HOME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